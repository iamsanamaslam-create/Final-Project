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Information ,Sheet 1" sheetId="1" r:id="rId5"/>
    <sheet state="visible" name="Appointment Sheet 2 " sheetId="2" r:id="rId6"/>
    <sheet state="visible" name="Billing Sheet 3" sheetId="3" r:id="rId7"/>
    <sheet state="visible" name="Daily Revenue Sheet4" sheetId="4" r:id="rId8"/>
    <sheet state="visible" name="Doctor Wise Performance Sheet 5" sheetId="5" r:id="rId9"/>
  </sheets>
  <definedNames/>
  <calcPr/>
</workbook>
</file>

<file path=xl/sharedStrings.xml><?xml version="1.0" encoding="utf-8"?>
<sst xmlns="http://schemas.openxmlformats.org/spreadsheetml/2006/main" count="187" uniqueCount="110">
  <si>
    <t>Doctor Information</t>
  </si>
  <si>
    <t>Doctor ID</t>
  </si>
  <si>
    <t>Doctor_Name</t>
  </si>
  <si>
    <t>Department</t>
  </si>
  <si>
    <t>Consultation_Fee</t>
  </si>
  <si>
    <t>D001</t>
  </si>
  <si>
    <t>Dr . Shaheer</t>
  </si>
  <si>
    <t>Cardiology</t>
  </si>
  <si>
    <t>D002</t>
  </si>
  <si>
    <t>Dr. Ayesha Rahman</t>
  </si>
  <si>
    <t>Gynecology</t>
  </si>
  <si>
    <t>D003</t>
  </si>
  <si>
    <t>Dr. Mohammad Ali</t>
  </si>
  <si>
    <t>Orthopedics</t>
  </si>
  <si>
    <t>D004</t>
  </si>
  <si>
    <t>Dr. Fatima Noor</t>
  </si>
  <si>
    <t>Pediatrics</t>
  </si>
  <si>
    <t>D005</t>
  </si>
  <si>
    <t>Dr. Salman Sheikh</t>
  </si>
  <si>
    <t>Neurology</t>
  </si>
  <si>
    <t>D006</t>
  </si>
  <si>
    <t>Dr. Zainab Hussain</t>
  </si>
  <si>
    <t>Dermatology</t>
  </si>
  <si>
    <t>D007</t>
  </si>
  <si>
    <t>Dr. Omar Farooq</t>
  </si>
  <si>
    <t>General Medicine</t>
  </si>
  <si>
    <t>D008</t>
  </si>
  <si>
    <t>Dr. Sana Iqbal</t>
  </si>
  <si>
    <t>ENT</t>
  </si>
  <si>
    <t>D009</t>
  </si>
  <si>
    <t>Dr. Yusuf Ansari</t>
  </si>
  <si>
    <t>Urology</t>
  </si>
  <si>
    <t>D010</t>
  </si>
  <si>
    <t>Dr. Mariam Siddiqi</t>
  </si>
  <si>
    <t>Psychiatry</t>
  </si>
  <si>
    <t>D011</t>
  </si>
  <si>
    <t>Dr. Ahmed Khan</t>
  </si>
  <si>
    <t>D012</t>
  </si>
  <si>
    <t>D013</t>
  </si>
  <si>
    <t>D014</t>
  </si>
  <si>
    <t>Dr. Fatima Begum</t>
  </si>
  <si>
    <t>D015</t>
  </si>
  <si>
    <t>Dr. Salman Hussain</t>
  </si>
  <si>
    <t>D016</t>
  </si>
  <si>
    <t>Dr. Sana Ahmed</t>
  </si>
  <si>
    <t>D017</t>
  </si>
  <si>
    <t>Dr. Imran Sheikh</t>
  </si>
  <si>
    <t>D018</t>
  </si>
  <si>
    <t>Dr. Zainab Noor</t>
  </si>
  <si>
    <t>Ophthalmology</t>
  </si>
  <si>
    <t>D019</t>
  </si>
  <si>
    <t>D020</t>
  </si>
  <si>
    <t>Dr. Nida Khan</t>
  </si>
  <si>
    <t>Appointment_ID</t>
  </si>
  <si>
    <t>Patient_Name</t>
  </si>
  <si>
    <t>Doctor_ID</t>
  </si>
  <si>
    <t>Appointment_Date</t>
  </si>
  <si>
    <t>Appointment_Time</t>
  </si>
  <si>
    <t>Arrival_Time</t>
  </si>
  <si>
    <t>Delay_Mins</t>
  </si>
  <si>
    <t>Status</t>
  </si>
  <si>
    <t>APT001</t>
  </si>
  <si>
    <t>Ali Hassan</t>
  </si>
  <si>
    <t>APT002</t>
  </si>
  <si>
    <t>Sara Khan</t>
  </si>
  <si>
    <t>APT003</t>
  </si>
  <si>
    <t>Umar Farooq</t>
  </si>
  <si>
    <t>APT004</t>
  </si>
  <si>
    <t>Amina Sheikh</t>
  </si>
  <si>
    <t>APT005</t>
  </si>
  <si>
    <t>Hassan Raza</t>
  </si>
  <si>
    <t>APT006</t>
  </si>
  <si>
    <t>Noor Fatima</t>
  </si>
  <si>
    <t>APT007</t>
  </si>
  <si>
    <t>Bilal Ahmed</t>
  </si>
  <si>
    <t>APT008</t>
  </si>
  <si>
    <t>Zoya Malik</t>
  </si>
  <si>
    <t>APT009</t>
  </si>
  <si>
    <t>Imran Siddiqi</t>
  </si>
  <si>
    <t>APT010</t>
  </si>
  <si>
    <t>Maryam Iqbal</t>
  </si>
  <si>
    <t>APT011</t>
  </si>
  <si>
    <t>Faisal Mahmood</t>
  </si>
  <si>
    <t>APT012</t>
  </si>
  <si>
    <t>Hina Ashraf</t>
  </si>
  <si>
    <t>APT013</t>
  </si>
  <si>
    <t>Kamran Yousuf</t>
  </si>
  <si>
    <t>APT014</t>
  </si>
  <si>
    <t>Rabia Noor</t>
  </si>
  <si>
    <t>APT015</t>
  </si>
  <si>
    <t>Adnan Qureshi</t>
  </si>
  <si>
    <t>APT016</t>
  </si>
  <si>
    <t>Saba Rizvi</t>
  </si>
  <si>
    <t>APT017</t>
  </si>
  <si>
    <t>Danish Ali</t>
  </si>
  <si>
    <t>APT018</t>
  </si>
  <si>
    <t>Mehwish Akhtar</t>
  </si>
  <si>
    <t>APT019</t>
  </si>
  <si>
    <t>Shahid Hussain</t>
  </si>
  <si>
    <t>APT020</t>
  </si>
  <si>
    <t>Anum Siddiqui</t>
  </si>
  <si>
    <t>Appointment ID</t>
  </si>
  <si>
    <t>Appointment Date</t>
  </si>
  <si>
    <t>Patient Name</t>
  </si>
  <si>
    <t>Doctor Fee</t>
  </si>
  <si>
    <t>Total Bill</t>
  </si>
  <si>
    <t xml:space="preserve"> </t>
  </si>
  <si>
    <t>Date</t>
  </si>
  <si>
    <t>Total Patients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</si>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</sst>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:ss am/pm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20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vertical="bottom"/>
    </xf>
    <xf borderId="0" fillId="0" fontId="6" numFmtId="20" xfId="0" applyAlignment="1" applyFont="1" applyNumberFormat="1">
      <alignment horizontal="center" vertical="bottom"/>
    </xf>
    <xf borderId="0" fillId="0" fontId="6" numFmtId="20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7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5">
    <tableStyle count="4" pivot="0" name="Doctor Information ,Shee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 Sheet 2 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illing Sheet 3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Daily Revenue Sheet4-style">
      <tableStyleElement dxfId="10" type="headerRow"/>
      <tableStyleElement dxfId="2" type="firstRowStripe"/>
      <tableStyleElement dxfId="2" type="secondRowStripe"/>
      <tableStyleElement dxfId="4" size="0" type="wholeTable"/>
    </tableStyle>
    <tableStyle count="4" pivot="0" name="Doctor Wise Performance Sheet 5-style">
      <tableStyleElement dxfId="1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1</xdr:row>
      <xdr:rowOff>152400</xdr:rowOff>
    </xdr:from>
    <xdr:ext cx="5715000" cy="3533775"/>
    <xdr:pic>
      <xdr:nvPicPr>
        <xdr:cNvPr id="11032148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24" displayName="Doctor_Information" name="Doctor_Information" id="1">
  <tableColumns count="4">
    <tableColumn name="Doctor ID" id="1"/>
    <tableColumn name="Doctor_Name" id="2"/>
    <tableColumn name="Department" id="3"/>
    <tableColumn name="Consultation_Fee" id="4"/>
  </tableColumns>
  <tableStyleInfo name="Doctor Information ,Sheet 1-style" showColumnStripes="0" showFirstColumn="1" showLastColumn="1" showRowStripes="1"/>
</table>
</file>

<file path=xl/tables/table2.xml><?xml version="1.0" encoding="utf-8"?>
<table xmlns="http://schemas.openxmlformats.org/spreadsheetml/2006/main" ref="A1:H21" displayName="_Appointments_Table" name="_Appointments_Table" id="2">
  <tableColumns count="8">
    <tableColumn name="Appointment_ID" id="1"/>
    <tableColumn name="Patient_Name" id="2"/>
    <tableColumn name="Doctor_ID" id="3"/>
    <tableColumn name="Appointment_Date" id="4"/>
    <tableColumn name="Appointment_Time" id="5"/>
    <tableColumn name="Arrival_Time" id="6"/>
    <tableColumn name="Delay_Mins" id="7"/>
    <tableColumn name="Status" id="8"/>
  </tableColumns>
  <tableStyleInfo name="Appointment Sheet 2 -style" showColumnStripes="0" showFirstColumn="1" showLastColumn="1" showRowStripes="1"/>
</table>
</file>

<file path=xl/tables/table3.xml><?xml version="1.0" encoding="utf-8"?>
<table xmlns="http://schemas.openxmlformats.org/spreadsheetml/2006/main" ref="A1:F21" displayName="Billing_Table" name="Billing_Table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Billing Sheet 3-style" showColumnStripes="0" showFirstColumn="1" showLastColumn="1" showRowStripes="1"/>
</table>
</file>

<file path=xl/tables/table4.xml><?xml version="1.0" encoding="utf-8"?>
<table xmlns="http://schemas.openxmlformats.org/spreadsheetml/2006/main" ref="A1:C21" displayName="Daily_Revenue_Table" name="Daily_Revenue_Table" id="4">
  <tableColumns count="3">
    <tableColumn name="Date" id="1"/>
    <tableColumn name="Total Patients" id="2"/>
    <tableColumn name="Total Revenue" id="3"/>
  </tableColumns>
  <tableStyleInfo name="Daily Revenue Sheet4-style" showColumnStripes="0" showFirstColumn="1" showLastColumn="1" showRowStripes="1"/>
</table>
</file>

<file path=xl/tables/table5.xml><?xml version="1.0" encoding="utf-8"?>
<table xmlns="http://schemas.openxmlformats.org/spreadsheetml/2006/main" ref="A1:D21" displayName="Doctor_Wise_Performance_Table" name="Doctor_Wise_Performance_Table" id="5">
  <tableColumns count="4">
    <tableColumn name="Doctor_ID" id="1"/>
    <tableColumn name="Doctor_Name" id="2"/>
    <tableColumn name="Total Patients" id="3"/>
    <tableColumn name="Total Revenue" id="4"/>
  </tableColumns>
  <tableStyleInfo name="Doctor Wise Performance Sheet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6.75"/>
    <col customWidth="1" min="3" max="3" width="15.75"/>
    <col customWidth="1" min="4" max="4" width="18.5"/>
  </cols>
  <sheetData>
    <row r="1">
      <c r="B1" s="1"/>
      <c r="C1" s="1" t="s">
        <v>0</v>
      </c>
    </row>
    <row r="2">
      <c r="A2" s="2"/>
    </row>
    <row r="4" ht="22.5" customHeight="1">
      <c r="A4" s="3" t="s">
        <v>1</v>
      </c>
      <c r="B4" s="3" t="s">
        <v>2</v>
      </c>
      <c r="C4" s="3" t="s">
        <v>3</v>
      </c>
      <c r="D4" s="3" t="s">
        <v>4</v>
      </c>
      <c r="E4" s="4"/>
    </row>
    <row r="5" ht="22.5" customHeight="1">
      <c r="A5" s="5" t="s">
        <v>5</v>
      </c>
      <c r="B5" s="6" t="s">
        <v>6</v>
      </c>
      <c r="C5" s="6" t="s">
        <v>7</v>
      </c>
      <c r="D5" s="6">
        <v>800.0</v>
      </c>
    </row>
    <row r="6" ht="22.5" customHeight="1">
      <c r="A6" s="5" t="s">
        <v>8</v>
      </c>
      <c r="B6" s="6" t="s">
        <v>9</v>
      </c>
      <c r="C6" s="6" t="s">
        <v>10</v>
      </c>
      <c r="D6" s="6">
        <v>700.0</v>
      </c>
    </row>
    <row r="7" ht="22.5" customHeight="1">
      <c r="A7" s="5" t="s">
        <v>11</v>
      </c>
      <c r="B7" s="6" t="s">
        <v>12</v>
      </c>
      <c r="C7" s="6" t="s">
        <v>13</v>
      </c>
      <c r="D7" s="6">
        <v>900.0</v>
      </c>
    </row>
    <row r="8" ht="22.5" customHeight="1">
      <c r="A8" s="5" t="s">
        <v>14</v>
      </c>
      <c r="B8" s="6" t="s">
        <v>15</v>
      </c>
      <c r="C8" s="6" t="s">
        <v>16</v>
      </c>
      <c r="D8" s="6">
        <v>600.0</v>
      </c>
    </row>
    <row r="9" ht="22.5" customHeight="1">
      <c r="A9" s="5" t="s">
        <v>17</v>
      </c>
      <c r="B9" s="6" t="s">
        <v>18</v>
      </c>
      <c r="C9" s="6" t="s">
        <v>19</v>
      </c>
      <c r="D9" s="6">
        <v>1200.0</v>
      </c>
    </row>
    <row r="10" ht="22.5" customHeight="1">
      <c r="A10" s="5" t="s">
        <v>20</v>
      </c>
      <c r="B10" s="6" t="s">
        <v>21</v>
      </c>
      <c r="C10" s="6" t="s">
        <v>22</v>
      </c>
      <c r="D10" s="6">
        <v>500.0</v>
      </c>
    </row>
    <row r="11" ht="22.5" customHeight="1">
      <c r="A11" s="5" t="s">
        <v>23</v>
      </c>
      <c r="B11" s="6" t="s">
        <v>24</v>
      </c>
      <c r="C11" s="6" t="s">
        <v>25</v>
      </c>
      <c r="D11" s="6">
        <v>400.0</v>
      </c>
    </row>
    <row r="12" ht="22.5" customHeight="1">
      <c r="A12" s="5" t="s">
        <v>26</v>
      </c>
      <c r="B12" s="6" t="s">
        <v>27</v>
      </c>
      <c r="C12" s="6" t="s">
        <v>28</v>
      </c>
      <c r="D12" s="6">
        <v>550.0</v>
      </c>
    </row>
    <row r="13" ht="22.5" customHeight="1">
      <c r="A13" s="5" t="s">
        <v>29</v>
      </c>
      <c r="B13" s="6" t="s">
        <v>30</v>
      </c>
      <c r="C13" s="6" t="s">
        <v>31</v>
      </c>
      <c r="D13" s="6">
        <v>1000.0</v>
      </c>
    </row>
    <row r="14" ht="22.5" customHeight="1">
      <c r="A14" s="5" t="s">
        <v>32</v>
      </c>
      <c r="B14" s="6" t="s">
        <v>33</v>
      </c>
      <c r="C14" s="6" t="s">
        <v>34</v>
      </c>
      <c r="D14" s="6">
        <v>850.0</v>
      </c>
    </row>
    <row r="15" ht="22.5" customHeight="1">
      <c r="A15" s="5" t="s">
        <v>35</v>
      </c>
      <c r="B15" s="6" t="s">
        <v>36</v>
      </c>
      <c r="C15" s="6" t="s">
        <v>7</v>
      </c>
      <c r="D15" s="6">
        <v>800.0</v>
      </c>
    </row>
    <row r="16" ht="22.5" customHeight="1">
      <c r="A16" s="5" t="s">
        <v>37</v>
      </c>
      <c r="B16" s="6" t="s">
        <v>9</v>
      </c>
      <c r="C16" s="6" t="s">
        <v>19</v>
      </c>
      <c r="D16" s="6">
        <v>900.0</v>
      </c>
    </row>
    <row r="17" ht="22.5" customHeight="1">
      <c r="A17" s="5" t="s">
        <v>38</v>
      </c>
      <c r="B17" s="6" t="s">
        <v>12</v>
      </c>
      <c r="C17" s="6" t="s">
        <v>13</v>
      </c>
      <c r="D17" s="6">
        <v>700.0</v>
      </c>
    </row>
    <row r="18" ht="22.5" customHeight="1">
      <c r="A18" s="5" t="s">
        <v>39</v>
      </c>
      <c r="B18" s="6" t="s">
        <v>40</v>
      </c>
      <c r="C18" s="6" t="s">
        <v>10</v>
      </c>
      <c r="D18" s="6">
        <v>600.0</v>
      </c>
    </row>
    <row r="19" ht="22.5" customHeight="1">
      <c r="A19" s="5" t="s">
        <v>41</v>
      </c>
      <c r="B19" s="6" t="s">
        <v>42</v>
      </c>
      <c r="C19" s="6" t="s">
        <v>22</v>
      </c>
      <c r="D19" s="6">
        <v>500.0</v>
      </c>
    </row>
    <row r="20" ht="22.5" customHeight="1">
      <c r="A20" s="5" t="s">
        <v>43</v>
      </c>
      <c r="B20" s="6" t="s">
        <v>44</v>
      </c>
      <c r="C20" s="6" t="s">
        <v>16</v>
      </c>
      <c r="D20" s="6">
        <v>550.0</v>
      </c>
    </row>
    <row r="21" ht="22.5" customHeight="1">
      <c r="A21" s="5" t="s">
        <v>45</v>
      </c>
      <c r="B21" s="6" t="s">
        <v>46</v>
      </c>
      <c r="C21" s="6" t="s">
        <v>28</v>
      </c>
      <c r="D21" s="6">
        <v>450.0</v>
      </c>
    </row>
    <row r="22" ht="22.5" customHeight="1">
      <c r="A22" s="5" t="s">
        <v>47</v>
      </c>
      <c r="B22" s="6" t="s">
        <v>48</v>
      </c>
      <c r="C22" s="6" t="s">
        <v>49</v>
      </c>
      <c r="D22" s="6">
        <v>650.0</v>
      </c>
    </row>
    <row r="23" ht="22.5" customHeight="1">
      <c r="A23" s="5" t="s">
        <v>50</v>
      </c>
      <c r="B23" s="6" t="s">
        <v>30</v>
      </c>
      <c r="C23" s="6" t="s">
        <v>25</v>
      </c>
      <c r="D23" s="6">
        <v>400.0</v>
      </c>
    </row>
    <row r="24" ht="22.5" customHeight="1">
      <c r="A24" s="5" t="s">
        <v>51</v>
      </c>
      <c r="B24" s="6" t="s">
        <v>52</v>
      </c>
      <c r="C24" s="6" t="s">
        <v>34</v>
      </c>
      <c r="D24" s="6">
        <v>75.0</v>
      </c>
    </row>
  </sheetData>
  <dataValidations>
    <dataValidation type="list" allowBlank="1" showErrorMessage="1" sqref="A5:A24">
      <formula1>"D001,D002,D003,D004,D005,D006,D007,D008,D009,D010,D011,D012,D013,D014,D015,D016,D017,D018,D019,D020"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6.5"/>
    <col customWidth="1" min="3" max="3" width="16.75"/>
    <col customWidth="1" min="4" max="4" width="23.5"/>
    <col customWidth="1" min="5" max="5" width="23.75"/>
    <col customWidth="1" min="6" max="6" width="18.88"/>
    <col customWidth="1" min="7" max="7" width="17.88"/>
  </cols>
  <sheetData>
    <row r="1" ht="22.5" customHeight="1">
      <c r="A1" s="7" t="s">
        <v>53</v>
      </c>
      <c r="B1" s="7" t="s">
        <v>54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</row>
    <row r="2" ht="22.5" customHeight="1">
      <c r="A2" s="8" t="s">
        <v>61</v>
      </c>
      <c r="B2" s="9" t="s">
        <v>62</v>
      </c>
      <c r="C2" s="5" t="s">
        <v>5</v>
      </c>
      <c r="D2" s="10">
        <v>46061.0</v>
      </c>
      <c r="E2" s="11">
        <v>0.4166666666666667</v>
      </c>
      <c r="F2" s="11">
        <v>0.4131944444444444</v>
      </c>
      <c r="G2" s="12">
        <f t="shared" ref="G2:G21" si="1">IF(F2="","",MAX(0,(F2-E2)))</f>
        <v>0</v>
      </c>
      <c r="H2" s="9" t="str">
        <f t="shared" ref="H2:H3" si="2">IF(B2="","",IF(G2="","Missed",IF(G2=0,"On Time","Late")))</f>
        <v>On Time</v>
      </c>
    </row>
    <row r="3" ht="22.5" customHeight="1">
      <c r="A3" s="8" t="s">
        <v>63</v>
      </c>
      <c r="B3" s="9" t="s">
        <v>64</v>
      </c>
      <c r="C3" s="5" t="s">
        <v>8</v>
      </c>
      <c r="D3" s="13">
        <v>46060.0</v>
      </c>
      <c r="E3" s="11">
        <v>0.4375</v>
      </c>
      <c r="F3" s="11">
        <v>0.4479166666666667</v>
      </c>
      <c r="G3" s="12">
        <f t="shared" si="1"/>
        <v>0.01041666667</v>
      </c>
      <c r="H3" s="9" t="str">
        <f t="shared" si="2"/>
        <v>Late</v>
      </c>
    </row>
    <row r="4" ht="22.5" customHeight="1">
      <c r="A4" s="8" t="s">
        <v>65</v>
      </c>
      <c r="B4" s="9" t="s">
        <v>66</v>
      </c>
      <c r="C4" s="5" t="s">
        <v>11</v>
      </c>
      <c r="D4" s="13">
        <v>46060.0</v>
      </c>
      <c r="E4" s="11">
        <v>0.4583333333333333</v>
      </c>
      <c r="F4" s="11"/>
      <c r="G4" s="12" t="str">
        <f t="shared" si="1"/>
        <v/>
      </c>
      <c r="H4" s="9" t="str">
        <f>IF(B4="","",IF(G4="","Missed",IF(G4=0,"On time","Late")))</f>
        <v>Missed</v>
      </c>
    </row>
    <row r="5" ht="22.5" customHeight="1">
      <c r="A5" s="8" t="s">
        <v>67</v>
      </c>
      <c r="B5" s="9" t="s">
        <v>68</v>
      </c>
      <c r="C5" s="5" t="s">
        <v>14</v>
      </c>
      <c r="D5" s="10">
        <v>46062.0</v>
      </c>
      <c r="E5" s="11">
        <v>0.4791666666666667</v>
      </c>
      <c r="F5" s="11">
        <v>0.4756944444444444</v>
      </c>
      <c r="G5" s="12">
        <f t="shared" si="1"/>
        <v>0</v>
      </c>
      <c r="H5" s="9" t="str">
        <f t="shared" ref="H5:H21" si="3">IF(B5="","",IF(G5="","Missed",IF(G5=0,"On Time","Late")))</f>
        <v>On Time</v>
      </c>
    </row>
    <row r="6" ht="22.5" customHeight="1">
      <c r="A6" s="8" t="s">
        <v>69</v>
      </c>
      <c r="B6" s="9" t="s">
        <v>70</v>
      </c>
      <c r="C6" s="5" t="s">
        <v>17</v>
      </c>
      <c r="D6" s="10">
        <v>46064.0</v>
      </c>
      <c r="E6" s="11">
        <v>0.5</v>
      </c>
      <c r="F6" s="11">
        <v>0.5138888888888888</v>
      </c>
      <c r="G6" s="12">
        <f t="shared" si="1"/>
        <v>0.01388888889</v>
      </c>
      <c r="H6" s="9" t="str">
        <f t="shared" si="3"/>
        <v>Late</v>
      </c>
    </row>
    <row r="7" ht="22.5" customHeight="1">
      <c r="A7" s="8" t="s">
        <v>71</v>
      </c>
      <c r="B7" s="9" t="s">
        <v>72</v>
      </c>
      <c r="C7" s="5" t="s">
        <v>20</v>
      </c>
      <c r="D7" s="10">
        <v>46062.0</v>
      </c>
      <c r="E7" s="11">
        <v>0.5208333333333334</v>
      </c>
      <c r="F7" s="11">
        <v>0.5208333333333334</v>
      </c>
      <c r="G7" s="12">
        <f t="shared" si="1"/>
        <v>0</v>
      </c>
      <c r="H7" s="9" t="str">
        <f t="shared" si="3"/>
        <v>On Time</v>
      </c>
      <c r="I7" s="14"/>
    </row>
    <row r="8" ht="22.5" customHeight="1">
      <c r="A8" s="8" t="s">
        <v>73</v>
      </c>
      <c r="B8" s="9" t="s">
        <v>74</v>
      </c>
      <c r="C8" s="5" t="s">
        <v>23</v>
      </c>
      <c r="D8" s="10">
        <v>46068.0</v>
      </c>
      <c r="E8" s="11">
        <v>0.5416666666666666</v>
      </c>
      <c r="F8" s="11"/>
      <c r="G8" s="12" t="str">
        <f t="shared" si="1"/>
        <v/>
      </c>
      <c r="H8" s="9" t="str">
        <f t="shared" si="3"/>
        <v>Missed</v>
      </c>
    </row>
    <row r="9" ht="22.5" customHeight="1">
      <c r="A9" s="8" t="s">
        <v>75</v>
      </c>
      <c r="B9" s="9" t="s">
        <v>76</v>
      </c>
      <c r="C9" s="5" t="s">
        <v>26</v>
      </c>
      <c r="D9" s="10">
        <v>46069.0</v>
      </c>
      <c r="E9" s="11">
        <v>0.5625</v>
      </c>
      <c r="F9" s="11">
        <v>0.5694444444444444</v>
      </c>
      <c r="G9" s="12">
        <f t="shared" si="1"/>
        <v>0.006944444444</v>
      </c>
      <c r="H9" s="9" t="str">
        <f t="shared" si="3"/>
        <v>Late</v>
      </c>
    </row>
    <row r="10" ht="22.5" customHeight="1">
      <c r="A10" s="8" t="s">
        <v>77</v>
      </c>
      <c r="B10" s="9" t="s">
        <v>78</v>
      </c>
      <c r="C10" s="5" t="s">
        <v>29</v>
      </c>
      <c r="D10" s="10">
        <v>46073.0</v>
      </c>
      <c r="E10" s="11">
        <v>0.5833333333333334</v>
      </c>
      <c r="F10" s="11">
        <v>0.5763888888888888</v>
      </c>
      <c r="G10" s="12">
        <f t="shared" si="1"/>
        <v>0</v>
      </c>
      <c r="H10" s="9" t="str">
        <f t="shared" si="3"/>
        <v>On Time</v>
      </c>
    </row>
    <row r="11" ht="22.5" customHeight="1">
      <c r="A11" s="8" t="s">
        <v>79</v>
      </c>
      <c r="B11" s="9" t="s">
        <v>80</v>
      </c>
      <c r="C11" s="5" t="s">
        <v>32</v>
      </c>
      <c r="D11" s="10">
        <v>46074.0</v>
      </c>
      <c r="E11" s="11">
        <v>0.6041666666666666</v>
      </c>
      <c r="F11" s="11">
        <v>0.6215277777777778</v>
      </c>
      <c r="G11" s="12">
        <f t="shared" si="1"/>
        <v>0.01736111111</v>
      </c>
      <c r="H11" s="9" t="str">
        <f t="shared" si="3"/>
        <v>Late</v>
      </c>
    </row>
    <row r="12" ht="22.5" customHeight="1">
      <c r="A12" s="8" t="s">
        <v>81</v>
      </c>
      <c r="B12" s="9" t="s">
        <v>82</v>
      </c>
      <c r="C12" s="5" t="s">
        <v>35</v>
      </c>
      <c r="D12" s="10">
        <v>46076.0</v>
      </c>
      <c r="E12" s="11">
        <v>0.375</v>
      </c>
      <c r="F12" s="11">
        <v>0.3715277777777778</v>
      </c>
      <c r="G12" s="12">
        <f t="shared" si="1"/>
        <v>0</v>
      </c>
      <c r="H12" s="9" t="str">
        <f t="shared" si="3"/>
        <v>On Time</v>
      </c>
    </row>
    <row r="13" ht="22.5" customHeight="1">
      <c r="A13" s="8" t="s">
        <v>83</v>
      </c>
      <c r="B13" s="9" t="s">
        <v>84</v>
      </c>
      <c r="C13" s="5" t="s">
        <v>37</v>
      </c>
      <c r="D13" s="13">
        <v>46061.0</v>
      </c>
      <c r="E13" s="11">
        <v>0.3958333333333333</v>
      </c>
      <c r="F13" s="11">
        <v>0.4097222222222222</v>
      </c>
      <c r="G13" s="12">
        <f t="shared" si="1"/>
        <v>0.01388888889</v>
      </c>
      <c r="H13" s="9" t="str">
        <f t="shared" si="3"/>
        <v>Late</v>
      </c>
    </row>
    <row r="14" ht="22.5" customHeight="1">
      <c r="A14" s="8" t="s">
        <v>85</v>
      </c>
      <c r="B14" s="9" t="s">
        <v>86</v>
      </c>
      <c r="C14" s="5" t="s">
        <v>38</v>
      </c>
      <c r="D14" s="13">
        <v>46061.0</v>
      </c>
      <c r="E14" s="11">
        <v>0.4166666666666667</v>
      </c>
      <c r="F14" s="11"/>
      <c r="G14" s="12" t="str">
        <f t="shared" si="1"/>
        <v/>
      </c>
      <c r="H14" s="9" t="str">
        <f t="shared" si="3"/>
        <v>Missed</v>
      </c>
    </row>
    <row r="15" ht="22.5" customHeight="1">
      <c r="A15" s="8" t="s">
        <v>87</v>
      </c>
      <c r="B15" s="9" t="s">
        <v>88</v>
      </c>
      <c r="C15" s="5" t="s">
        <v>39</v>
      </c>
      <c r="D15" s="13">
        <v>46061.0</v>
      </c>
      <c r="E15" s="11">
        <v>0.4375</v>
      </c>
      <c r="F15" s="11">
        <v>0.4340277777777778</v>
      </c>
      <c r="G15" s="12">
        <f t="shared" si="1"/>
        <v>0</v>
      </c>
      <c r="H15" s="9" t="str">
        <f t="shared" si="3"/>
        <v>On Time</v>
      </c>
    </row>
    <row r="16" ht="22.5" customHeight="1">
      <c r="A16" s="8" t="s">
        <v>89</v>
      </c>
      <c r="B16" s="9" t="s">
        <v>90</v>
      </c>
      <c r="C16" s="5" t="s">
        <v>41</v>
      </c>
      <c r="D16" s="13">
        <v>46061.0</v>
      </c>
      <c r="E16" s="11">
        <v>0.4583333333333333</v>
      </c>
      <c r="F16" s="11">
        <v>0.4652777777777778</v>
      </c>
      <c r="G16" s="12">
        <f t="shared" si="1"/>
        <v>0.006944444444</v>
      </c>
      <c r="H16" s="9" t="str">
        <f t="shared" si="3"/>
        <v>Late</v>
      </c>
    </row>
    <row r="17" ht="22.5" customHeight="1">
      <c r="A17" s="8" t="s">
        <v>91</v>
      </c>
      <c r="B17" s="9" t="s">
        <v>92</v>
      </c>
      <c r="C17" s="5" t="s">
        <v>43</v>
      </c>
      <c r="D17" s="10">
        <v>46064.0</v>
      </c>
      <c r="E17" s="11">
        <v>0.4791666666666667</v>
      </c>
      <c r="F17" s="11">
        <v>0.4791666666666667</v>
      </c>
      <c r="G17" s="12">
        <f t="shared" si="1"/>
        <v>0</v>
      </c>
      <c r="H17" s="9" t="str">
        <f t="shared" si="3"/>
        <v>On Time</v>
      </c>
    </row>
    <row r="18" ht="22.5" customHeight="1">
      <c r="A18" s="8" t="s">
        <v>93</v>
      </c>
      <c r="B18" s="9" t="s">
        <v>94</v>
      </c>
      <c r="C18" s="5" t="s">
        <v>45</v>
      </c>
      <c r="D18" s="10">
        <v>46065.0</v>
      </c>
      <c r="E18" s="11">
        <v>0.5</v>
      </c>
      <c r="F18" s="11"/>
      <c r="G18" s="12" t="str">
        <f t="shared" si="1"/>
        <v/>
      </c>
      <c r="H18" s="9" t="str">
        <f t="shared" si="3"/>
        <v>Missed</v>
      </c>
    </row>
    <row r="19" ht="22.5" customHeight="1">
      <c r="A19" s="8" t="s">
        <v>95</v>
      </c>
      <c r="B19" s="9" t="s">
        <v>96</v>
      </c>
      <c r="C19" s="5" t="s">
        <v>47</v>
      </c>
      <c r="D19" s="10">
        <v>46060.0</v>
      </c>
      <c r="E19" s="11">
        <v>0.5208333333333334</v>
      </c>
      <c r="F19" s="11">
        <v>0.53125</v>
      </c>
      <c r="G19" s="12">
        <f t="shared" si="1"/>
        <v>0.01041666667</v>
      </c>
      <c r="H19" s="9" t="str">
        <f t="shared" si="3"/>
        <v>Late</v>
      </c>
    </row>
    <row r="20" ht="22.5" customHeight="1">
      <c r="A20" s="8" t="s">
        <v>97</v>
      </c>
      <c r="B20" s="9" t="s">
        <v>98</v>
      </c>
      <c r="C20" s="5" t="s">
        <v>50</v>
      </c>
      <c r="D20" s="13">
        <v>46061.0</v>
      </c>
      <c r="E20" s="11">
        <v>0.5416666666666666</v>
      </c>
      <c r="F20" s="11">
        <v>0.5381944444444444</v>
      </c>
      <c r="G20" s="12">
        <f t="shared" si="1"/>
        <v>0</v>
      </c>
      <c r="H20" s="9" t="str">
        <f t="shared" si="3"/>
        <v>On Time</v>
      </c>
    </row>
    <row r="21" ht="22.5" customHeight="1">
      <c r="A21" s="8" t="s">
        <v>99</v>
      </c>
      <c r="B21" s="9" t="s">
        <v>100</v>
      </c>
      <c r="C21" s="5" t="s">
        <v>51</v>
      </c>
      <c r="D21" s="13">
        <v>46061.0</v>
      </c>
      <c r="E21" s="11">
        <v>0.5625</v>
      </c>
      <c r="F21" s="11">
        <v>0.5763888888888888</v>
      </c>
      <c r="G21" s="12">
        <f t="shared" si="1"/>
        <v>0.01388888889</v>
      </c>
      <c r="H21" s="9" t="str">
        <f t="shared" si="3"/>
        <v>Late</v>
      </c>
    </row>
    <row r="22">
      <c r="A22" s="15"/>
      <c r="B22" s="15"/>
      <c r="C22" s="16"/>
      <c r="D22" s="17"/>
      <c r="E22" s="18"/>
      <c r="F22" s="18"/>
      <c r="G22" s="18"/>
      <c r="H22" s="15"/>
    </row>
    <row r="23">
      <c r="A23" s="15"/>
      <c r="B23" s="15"/>
      <c r="C23" s="16"/>
      <c r="D23" s="17"/>
      <c r="E23" s="18"/>
      <c r="F23" s="19"/>
      <c r="G23" s="18"/>
      <c r="H23" s="15"/>
    </row>
    <row r="24">
      <c r="A24" s="15"/>
      <c r="B24" s="15"/>
      <c r="C24" s="16"/>
      <c r="D24" s="17"/>
      <c r="E24" s="18"/>
      <c r="F24" s="18"/>
      <c r="G24" s="18"/>
      <c r="H24" s="15"/>
    </row>
    <row r="25">
      <c r="A25" s="15"/>
      <c r="B25" s="15"/>
      <c r="C25" s="16"/>
      <c r="D25" s="17"/>
      <c r="E25" s="18"/>
      <c r="F25" s="18"/>
      <c r="G25" s="18"/>
      <c r="H25" s="15"/>
    </row>
    <row r="26">
      <c r="A26" s="15"/>
      <c r="B26" s="15"/>
      <c r="C26" s="16"/>
      <c r="D26" s="17"/>
      <c r="E26" s="18"/>
      <c r="F26" s="18"/>
      <c r="G26" s="18"/>
      <c r="H26" s="15"/>
    </row>
    <row r="29">
      <c r="A29" s="20"/>
      <c r="B29" s="20"/>
      <c r="C29" s="20"/>
      <c r="D29" s="20"/>
      <c r="E29" s="20"/>
      <c r="F29" s="20"/>
      <c r="G29" s="20"/>
      <c r="H29" s="20"/>
    </row>
    <row r="30">
      <c r="A30" s="15"/>
      <c r="B30" s="15"/>
      <c r="C30" s="16"/>
      <c r="D30" s="17"/>
      <c r="E30" s="18"/>
      <c r="F30" s="18"/>
      <c r="G30" s="15"/>
      <c r="H30" s="15"/>
    </row>
    <row r="31">
      <c r="A31" s="15"/>
      <c r="B31" s="15"/>
      <c r="C31" s="16"/>
      <c r="D31" s="17"/>
      <c r="E31" s="18"/>
      <c r="F31" s="18"/>
      <c r="G31" s="18"/>
      <c r="H31" s="15"/>
    </row>
    <row r="32">
      <c r="A32" s="15"/>
      <c r="B32" s="15"/>
      <c r="C32" s="16"/>
      <c r="D32" s="17"/>
      <c r="E32" s="18"/>
      <c r="F32" s="19"/>
      <c r="G32" s="18"/>
      <c r="H32" s="15"/>
    </row>
    <row r="33">
      <c r="A33" s="15"/>
      <c r="B33" s="15"/>
      <c r="C33" s="16"/>
      <c r="D33" s="17"/>
      <c r="E33" s="18"/>
      <c r="F33" s="18"/>
      <c r="G33" s="18"/>
      <c r="H33" s="15"/>
    </row>
    <row r="34">
      <c r="A34" s="15"/>
      <c r="B34" s="15"/>
      <c r="C34" s="16"/>
      <c r="D34" s="17"/>
      <c r="E34" s="18"/>
      <c r="F34" s="18"/>
      <c r="G34" s="18"/>
      <c r="H34" s="15"/>
    </row>
    <row r="35">
      <c r="A35" s="15"/>
      <c r="B35" s="15"/>
      <c r="C35" s="16"/>
      <c r="D35" s="17"/>
      <c r="E35" s="18"/>
      <c r="F35" s="18"/>
      <c r="G35" s="18"/>
      <c r="H35" s="15"/>
    </row>
    <row r="36">
      <c r="A36" s="15"/>
      <c r="B36" s="15"/>
      <c r="C36" s="16"/>
      <c r="D36" s="17"/>
      <c r="E36" s="18"/>
      <c r="F36" s="19"/>
      <c r="G36" s="18"/>
      <c r="H36" s="15"/>
    </row>
    <row r="37">
      <c r="A37" s="15"/>
      <c r="B37" s="15"/>
      <c r="C37" s="16"/>
      <c r="D37" s="17"/>
      <c r="E37" s="18"/>
      <c r="F37" s="18"/>
      <c r="G37" s="18"/>
      <c r="H37" s="15"/>
    </row>
    <row r="38">
      <c r="A38" s="15"/>
      <c r="B38" s="15"/>
      <c r="C38" s="16"/>
      <c r="D38" s="17"/>
      <c r="E38" s="18"/>
      <c r="F38" s="18"/>
      <c r="G38" s="18"/>
      <c r="H38" s="15"/>
    </row>
    <row r="39">
      <c r="A39" s="15"/>
      <c r="B39" s="15"/>
      <c r="C39" s="16"/>
      <c r="D39" s="17"/>
      <c r="E39" s="18"/>
      <c r="F39" s="18"/>
      <c r="G39" s="18"/>
      <c r="H39" s="15"/>
    </row>
    <row r="40">
      <c r="A40" s="15"/>
      <c r="B40" s="15"/>
      <c r="C40" s="16"/>
      <c r="D40" s="17"/>
      <c r="E40" s="18"/>
      <c r="F40" s="18"/>
      <c r="G40" s="18"/>
      <c r="H40" s="15"/>
    </row>
    <row r="41">
      <c r="A41" s="15"/>
      <c r="B41" s="15"/>
      <c r="C41" s="16"/>
      <c r="D41" s="17"/>
      <c r="E41" s="18"/>
      <c r="F41" s="18"/>
      <c r="G41" s="18"/>
      <c r="H41" s="15"/>
    </row>
    <row r="42">
      <c r="A42" s="15"/>
      <c r="B42" s="15"/>
      <c r="C42" s="16"/>
      <c r="D42" s="17"/>
      <c r="E42" s="18"/>
      <c r="F42" s="19"/>
      <c r="G42" s="18"/>
      <c r="H42" s="15"/>
    </row>
    <row r="43">
      <c r="A43" s="15"/>
      <c r="B43" s="15"/>
      <c r="C43" s="16"/>
      <c r="D43" s="17"/>
      <c r="E43" s="18"/>
      <c r="F43" s="18"/>
      <c r="G43" s="18"/>
      <c r="H43" s="15"/>
    </row>
    <row r="44">
      <c r="A44" s="15"/>
      <c r="B44" s="15"/>
      <c r="C44" s="16"/>
      <c r="D44" s="17"/>
      <c r="E44" s="18"/>
      <c r="F44" s="18"/>
      <c r="G44" s="18"/>
      <c r="H44" s="15"/>
    </row>
    <row r="45">
      <c r="A45" s="15"/>
      <c r="B45" s="15"/>
      <c r="C45" s="16"/>
      <c r="D45" s="17"/>
      <c r="E45" s="18"/>
      <c r="F45" s="18"/>
      <c r="G45" s="18"/>
      <c r="H45" s="15"/>
    </row>
    <row r="46">
      <c r="A46" s="15"/>
      <c r="B46" s="15"/>
      <c r="C46" s="16"/>
      <c r="D46" s="17"/>
      <c r="E46" s="18"/>
      <c r="F46" s="19"/>
      <c r="G46" s="18"/>
      <c r="H46" s="15"/>
    </row>
    <row r="47">
      <c r="A47" s="15"/>
      <c r="B47" s="15"/>
      <c r="C47" s="16"/>
      <c r="D47" s="17"/>
      <c r="E47" s="18"/>
      <c r="F47" s="18"/>
      <c r="G47" s="18"/>
      <c r="H47" s="15"/>
    </row>
    <row r="48">
      <c r="A48" s="15"/>
      <c r="B48" s="15"/>
      <c r="C48" s="16"/>
      <c r="D48" s="17"/>
      <c r="E48" s="18"/>
      <c r="F48" s="18"/>
      <c r="G48" s="18"/>
      <c r="H48" s="15"/>
    </row>
    <row r="49">
      <c r="A49" s="15"/>
      <c r="B49" s="15"/>
      <c r="C49" s="16"/>
      <c r="D49" s="17"/>
      <c r="E49" s="18"/>
      <c r="F49" s="18"/>
      <c r="G49" s="18"/>
      <c r="H49" s="15"/>
    </row>
    <row r="50">
      <c r="A50" s="15"/>
      <c r="B50" s="15"/>
      <c r="C50" s="16"/>
      <c r="D50" s="17"/>
      <c r="E50" s="18"/>
      <c r="F50" s="18"/>
      <c r="G50" s="18"/>
      <c r="H50" s="15"/>
    </row>
  </sheetData>
  <conditionalFormatting sqref="H2">
    <cfRule type="containsText" dxfId="6" priority="1" operator="containsText" text="on time">
      <formula>NOT(ISERROR(SEARCH(("on time"),(H2))))</formula>
    </cfRule>
  </conditionalFormatting>
  <conditionalFormatting sqref="H3">
    <cfRule type="containsText" dxfId="7" priority="2" operator="containsText" text="late">
      <formula>NOT(ISERROR(SEARCH(("late"),(H3))))</formula>
    </cfRule>
  </conditionalFormatting>
  <conditionalFormatting sqref="H4">
    <cfRule type="containsText" dxfId="8" priority="3" operator="containsText" text="missed">
      <formula>NOT(ISERROR(SEARCH(("missed"),(H4))))</formula>
    </cfRule>
  </conditionalFormatting>
  <conditionalFormatting sqref="H5">
    <cfRule type="containsText" dxfId="6" priority="4" operator="containsText" text="on time">
      <formula>NOT(ISERROR(SEARCH(("on time"),(H5))))</formula>
    </cfRule>
  </conditionalFormatting>
  <conditionalFormatting sqref="H6">
    <cfRule type="containsText" dxfId="7" priority="5" operator="containsText" text="late">
      <formula>NOT(ISERROR(SEARCH(("late"),(H6))))</formula>
    </cfRule>
  </conditionalFormatting>
  <conditionalFormatting sqref="H7">
    <cfRule type="containsText" dxfId="6" priority="6" operator="containsText" text="on time">
      <formula>NOT(ISERROR(SEARCH(("on time"),(H7))))</formula>
    </cfRule>
  </conditionalFormatting>
  <conditionalFormatting sqref="H8">
    <cfRule type="containsText" dxfId="8" priority="7" operator="containsText" text="missed">
      <formula>NOT(ISERROR(SEARCH(("missed"),(H8))))</formula>
    </cfRule>
  </conditionalFormatting>
  <conditionalFormatting sqref="H9">
    <cfRule type="containsText" dxfId="7" priority="8" operator="containsText" text="late">
      <formula>NOT(ISERROR(SEARCH(("late"),(H9))))</formula>
    </cfRule>
  </conditionalFormatting>
  <conditionalFormatting sqref="H10">
    <cfRule type="containsText" dxfId="6" priority="9" operator="containsText" text="on time">
      <formula>NOT(ISERROR(SEARCH(("on time"),(H10))))</formula>
    </cfRule>
  </conditionalFormatting>
  <conditionalFormatting sqref="H11">
    <cfRule type="containsText" dxfId="7" priority="10" operator="containsText" text="late">
      <formula>NOT(ISERROR(SEARCH(("late"),(H11))))</formula>
    </cfRule>
  </conditionalFormatting>
  <conditionalFormatting sqref="H12">
    <cfRule type="containsText" dxfId="6" priority="11" operator="containsText" text="on time">
      <formula>NOT(ISERROR(SEARCH(("on time"),(H12))))</formula>
    </cfRule>
  </conditionalFormatting>
  <conditionalFormatting sqref="H13">
    <cfRule type="containsText" dxfId="7" priority="12" operator="containsText" text="late">
      <formula>NOT(ISERROR(SEARCH(("late"),(H13))))</formula>
    </cfRule>
  </conditionalFormatting>
  <conditionalFormatting sqref="H14">
    <cfRule type="containsText" dxfId="8" priority="13" operator="containsText" text="missed">
      <formula>NOT(ISERROR(SEARCH(("missed"),(H14))))</formula>
    </cfRule>
  </conditionalFormatting>
  <conditionalFormatting sqref="H15">
    <cfRule type="containsText" dxfId="6" priority="14" operator="containsText" text="on time">
      <formula>NOT(ISERROR(SEARCH(("on time"),(H15))))</formula>
    </cfRule>
  </conditionalFormatting>
  <conditionalFormatting sqref="H16">
    <cfRule type="containsText" dxfId="7" priority="15" operator="containsText" text="late">
      <formula>NOT(ISERROR(SEARCH(("late"),(H16))))</formula>
    </cfRule>
  </conditionalFormatting>
  <conditionalFormatting sqref="H17">
    <cfRule type="containsText" dxfId="6" priority="16" operator="containsText" text="on time">
      <formula>NOT(ISERROR(SEARCH(("on time"),(H17))))</formula>
    </cfRule>
  </conditionalFormatting>
  <conditionalFormatting sqref="H18">
    <cfRule type="containsText" dxfId="8" priority="17" operator="containsText" text="missed">
      <formula>NOT(ISERROR(SEARCH(("missed"),(H18))))</formula>
    </cfRule>
  </conditionalFormatting>
  <conditionalFormatting sqref="H19">
    <cfRule type="containsText" dxfId="7" priority="18" operator="containsText" text="late">
      <formula>NOT(ISERROR(SEARCH(("late"),(H19))))</formula>
    </cfRule>
  </conditionalFormatting>
  <conditionalFormatting sqref="H20">
    <cfRule type="containsText" dxfId="6" priority="19" operator="containsText" text="on time">
      <formula>NOT(ISERROR(SEARCH(("on time"),(H20))))</formula>
    </cfRule>
  </conditionalFormatting>
  <conditionalFormatting sqref="H21">
    <cfRule type="containsText" dxfId="7" priority="20" operator="containsText" text="late">
      <formula>NOT(ISERROR(SEARCH(("late"),(H21))))</formula>
    </cfRule>
  </conditionalFormatting>
  <dataValidations>
    <dataValidation type="list" allowBlank="1" showErrorMessage="1" sqref="C2:C21">
      <formula1>"D001,D002,D003,D004,D005,D006,D007,D008,D009,D010,D011,D012,D013,D014,D015,D016,D017,D018,D019,D020"</formula1>
    </dataValidation>
    <dataValidation type="custom" allowBlank="1" showDropDown="1" sqref="E2:G21">
      <formula1>OR(TIMEVALUE(TEXT(E2, "hh:mm:ss"))=E2, AND(ISNUMBER(E2), LEFT(CELL("format", E2))="D"))</formula1>
    </dataValidation>
    <dataValidation type="custom" allowBlank="1" showDropDown="1" sqref="D2:D21">
      <formula1>OR(NOT(ISERROR(DATEVALUE(D2))), AND(ISNUMBER(D2), LEFT(CELL("format", D2))="D"))</formula1>
    </dataValidation>
    <dataValidation type="list" allowBlank="1" showErrorMessage="1" sqref="A2:A21">
      <formula1>"APT001,APT002,APT003,APT004,APT005,APT006,APT007,APT008,APT009,APT010,APT011,APT012,APT013,APT014,APT015,APT016,APT017,APT018,APT019,APT020"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2.25"/>
    <col customWidth="1" min="3" max="3" width="15.63"/>
    <col customWidth="1" min="4" max="4" width="15.75"/>
    <col customWidth="1" min="5" max="5" width="16.88"/>
    <col customWidth="1" min="6" max="6" width="15.25"/>
  </cols>
  <sheetData>
    <row r="1" ht="22.5" customHeight="1">
      <c r="A1" s="3" t="s">
        <v>101</v>
      </c>
      <c r="B1" s="3" t="s">
        <v>102</v>
      </c>
      <c r="C1" s="3" t="s">
        <v>103</v>
      </c>
      <c r="D1" s="3" t="s">
        <v>1</v>
      </c>
      <c r="E1" s="3" t="s">
        <v>104</v>
      </c>
      <c r="F1" s="3" t="s">
        <v>105</v>
      </c>
      <c r="H1" s="4"/>
    </row>
    <row r="2" ht="22.5" customHeight="1">
      <c r="A2" s="8" t="s">
        <v>61</v>
      </c>
      <c r="B2" s="21">
        <f>VLOOKUP(A2,'Appointment Sheet 2 '!A1:H21,4,FALSE)</f>
        <v>46061</v>
      </c>
      <c r="C2" s="6" t="str">
        <f>VLOOKUP(A2,'Appointment Sheet 2 '!A1:H21,2,FALSE)</f>
        <v>Ali Hassan</v>
      </c>
      <c r="D2" s="5" t="str">
        <f>VLOOKUP(A2,'Appointment Sheet 2 '!A1:H21,3,FALSE)</f>
        <v>D001</v>
      </c>
      <c r="E2" s="22">
        <f>VLOOKUP(D2,'Doctor Information ,Sheet 1'!A4:D23,4,FALSE)</f>
        <v>800</v>
      </c>
      <c r="F2" s="22">
        <f t="shared" ref="F2:F3" si="1">E2</f>
        <v>800</v>
      </c>
      <c r="H2" s="16"/>
    </row>
    <row r="3" ht="22.5" customHeight="1">
      <c r="A3" s="8" t="s">
        <v>63</v>
      </c>
      <c r="B3" s="21">
        <f>VLOOKUP(A3,'Appointment Sheet 2 '!A2:H22,4,FALSE)</f>
        <v>46060</v>
      </c>
      <c r="C3" s="6" t="str">
        <f>VLOOKUP(A3,'Appointment Sheet 2 '!A2:H22,2,FALSE)</f>
        <v>Sara Khan</v>
      </c>
      <c r="D3" s="5" t="str">
        <f>VLOOKUP(A3,'Appointment Sheet 2 '!A2:H22,3,FALSE)</f>
        <v>D002</v>
      </c>
      <c r="E3" s="22">
        <f>VLOOKUP(D3,'Doctor Information ,Sheet 1'!A5:D24,4,FALSE)</f>
        <v>700</v>
      </c>
      <c r="F3" s="22">
        <f t="shared" si="1"/>
        <v>700</v>
      </c>
      <c r="H3" s="16"/>
    </row>
    <row r="4" ht="22.5" customHeight="1">
      <c r="A4" s="8" t="s">
        <v>65</v>
      </c>
      <c r="B4" s="21">
        <f>VLOOKUP(A4,'Appointment Sheet 2 '!A3:H23,4,FALSE)</f>
        <v>46060</v>
      </c>
      <c r="C4" s="6" t="str">
        <f>VLOOKUP(A4,'Appointment Sheet 2 '!A3:H23,2,FALSE)</f>
        <v>Umar Farooq</v>
      </c>
      <c r="D4" s="5" t="str">
        <f>VLOOKUP(A4,'Appointment Sheet 2 '!A3:H23,3,FALSE)</f>
        <v>D003</v>
      </c>
      <c r="E4" s="22">
        <f>VLOOKUP(D4,'Doctor Information ,Sheet 1'!A6:D25,4,FALSE)</f>
        <v>900</v>
      </c>
      <c r="F4" s="22">
        <v>700.0</v>
      </c>
      <c r="H4" s="16"/>
    </row>
    <row r="5" ht="22.5" customHeight="1">
      <c r="A5" s="8" t="s">
        <v>67</v>
      </c>
      <c r="B5" s="21">
        <f>VLOOKUP(A5,'Appointment Sheet 2 '!A4:H24,4,FALSE)</f>
        <v>46062</v>
      </c>
      <c r="C5" s="6" t="str">
        <f>VLOOKUP(A5,'Appointment Sheet 2 '!A4:H24,2,FALSE)</f>
        <v>Amina Sheikh</v>
      </c>
      <c r="D5" s="5" t="str">
        <f>VLOOKUP(A5,'Appointment Sheet 2 '!A4:H24,3,FALSE)</f>
        <v>D004</v>
      </c>
      <c r="E5" s="22">
        <f>VLOOKUP(D5,'Doctor Information ,Sheet 1'!A7:D26,4,FALSE)</f>
        <v>600</v>
      </c>
      <c r="F5" s="22">
        <v>800.0</v>
      </c>
      <c r="H5" s="16"/>
    </row>
    <row r="6" ht="22.5" customHeight="1">
      <c r="A6" s="8" t="s">
        <v>69</v>
      </c>
      <c r="B6" s="21">
        <f>VLOOKUP(A6,'Appointment Sheet 2 '!A5:H25,4,FALSE)</f>
        <v>46064</v>
      </c>
      <c r="C6" s="6" t="str">
        <f>VLOOKUP(A6,'Appointment Sheet 2 '!A5:H25,2,FALSE)</f>
        <v>Hassan Raza</v>
      </c>
      <c r="D6" s="5" t="str">
        <f>VLOOKUP(A6,'Appointment Sheet 2 '!A5:H25,3,FALSE)</f>
        <v>D005</v>
      </c>
      <c r="E6" s="22">
        <f>VLOOKUP(D6,'Doctor Information ,Sheet 1'!A8:D27,4,FALSE)</f>
        <v>1200</v>
      </c>
      <c r="F6" s="22">
        <v>450.0</v>
      </c>
      <c r="H6" s="16"/>
    </row>
    <row r="7" ht="22.5" customHeight="1">
      <c r="A7" s="8" t="s">
        <v>71</v>
      </c>
      <c r="B7" s="21">
        <f>VLOOKUP(A7,'Appointment Sheet 2 '!A6:H26,4,FALSE)</f>
        <v>46062</v>
      </c>
      <c r="C7" s="6" t="str">
        <f>VLOOKUP(A7,'Appointment Sheet 2 '!A6:H26,2,FALSE)</f>
        <v>Noor Fatima</v>
      </c>
      <c r="D7" s="5" t="str">
        <f>VLOOKUP(A7,'Appointment Sheet 2 '!A6:H26,3,FALSE)</f>
        <v>D006</v>
      </c>
      <c r="E7" s="22">
        <f>VLOOKUP(D7,'Doctor Information ,Sheet 1'!A9:D28,4,FALSE)</f>
        <v>500</v>
      </c>
      <c r="F7" s="22">
        <v>550.0</v>
      </c>
      <c r="H7" s="16"/>
    </row>
    <row r="8" ht="22.5" customHeight="1">
      <c r="A8" s="8" t="s">
        <v>73</v>
      </c>
      <c r="B8" s="21">
        <f>VLOOKUP(A8,'Appointment Sheet 2 '!A7:H27,4,FALSE)</f>
        <v>46068</v>
      </c>
      <c r="C8" s="6" t="str">
        <f>VLOOKUP(A8,'Appointment Sheet 2 '!A7:H27,2,FALSE)</f>
        <v>Bilal Ahmed</v>
      </c>
      <c r="D8" s="5" t="str">
        <f>VLOOKUP(A8,'Appointment Sheet 2 '!A7:H27,3,FALSE)</f>
        <v>D007</v>
      </c>
      <c r="E8" s="22">
        <f>VLOOKUP(D8,'Doctor Information ,Sheet 1'!A10:D29,4,FALSE)</f>
        <v>400</v>
      </c>
      <c r="F8" s="22">
        <v>650.0</v>
      </c>
      <c r="H8" s="16"/>
    </row>
    <row r="9" ht="22.5" customHeight="1">
      <c r="A9" s="8" t="s">
        <v>75</v>
      </c>
      <c r="B9" s="21">
        <f>VLOOKUP(A9,'Appointment Sheet 2 '!A8:H28,4,FALSE)</f>
        <v>46069</v>
      </c>
      <c r="C9" s="6" t="str">
        <f>VLOOKUP(A9,'Appointment Sheet 2 '!A8:H28,2,FALSE)</f>
        <v>Zoya Malik</v>
      </c>
      <c r="D9" s="5" t="str">
        <f>VLOOKUP(A9,'Appointment Sheet 2 '!A8:H28,3,FALSE)</f>
        <v>D008</v>
      </c>
      <c r="E9" s="22">
        <f>VLOOKUP(D9,'Doctor Information ,Sheet 1'!A11:D30,4,FALSE)</f>
        <v>550</v>
      </c>
      <c r="F9" s="22">
        <v>900.0</v>
      </c>
      <c r="H9" s="16"/>
    </row>
    <row r="10" ht="22.5" customHeight="1">
      <c r="A10" s="8" t="s">
        <v>77</v>
      </c>
      <c r="B10" s="21">
        <f>VLOOKUP(A10,'Appointment Sheet 2 '!A9:H29,4,FALSE)</f>
        <v>46073</v>
      </c>
      <c r="C10" s="6" t="str">
        <f>VLOOKUP(A10,'Appointment Sheet 2 '!A9:H29,2,FALSE)</f>
        <v>Imran Siddiqi</v>
      </c>
      <c r="D10" s="5" t="str">
        <f>VLOOKUP(A10,'Appointment Sheet 2 '!A9:H29,3,FALSE)</f>
        <v>D009</v>
      </c>
      <c r="E10" s="22">
        <f>VLOOKUP(D10,'Doctor Information ,Sheet 1'!A12:D31,4,FALSE)</f>
        <v>1000</v>
      </c>
      <c r="F10" s="22">
        <v>400.0</v>
      </c>
      <c r="H10" s="16"/>
    </row>
    <row r="11" ht="22.5" customHeight="1">
      <c r="A11" s="8" t="s">
        <v>79</v>
      </c>
      <c r="B11" s="21">
        <f>VLOOKUP(A11,'Appointment Sheet 2 '!A10:H30,4,FALSE)</f>
        <v>46074</v>
      </c>
      <c r="C11" s="6" t="str">
        <f>VLOOKUP(A11,'Appointment Sheet 2 '!A10:H30,2,FALSE)</f>
        <v>Maryam Iqbal</v>
      </c>
      <c r="D11" s="5" t="str">
        <f>VLOOKUP(A11,'Appointment Sheet 2 '!A10:H30,3,FALSE)</f>
        <v>D010</v>
      </c>
      <c r="E11" s="22">
        <f>VLOOKUP(D11,'Doctor Information ,Sheet 1'!A13:D32,4,FALSE)</f>
        <v>850</v>
      </c>
      <c r="F11" s="22">
        <v>750.0</v>
      </c>
      <c r="H11" s="16"/>
    </row>
    <row r="12" ht="22.5" customHeight="1">
      <c r="A12" s="8" t="s">
        <v>81</v>
      </c>
      <c r="B12" s="21">
        <f>VLOOKUP(A12,'Appointment Sheet 2 '!A11:H31,4,FALSE)</f>
        <v>46076</v>
      </c>
      <c r="C12" s="6" t="str">
        <f>VLOOKUP(A12,'Appointment Sheet 2 '!A11:H31,2,FALSE)</f>
        <v>Faisal Mahmood</v>
      </c>
      <c r="D12" s="5" t="str">
        <f>VLOOKUP(A12,'Appointment Sheet 2 '!A11:H31,3,FALSE)</f>
        <v>D011</v>
      </c>
      <c r="E12" s="22">
        <f>VLOOKUP(D12,'Doctor Information ,Sheet 1'!A14:D33,4,FALSE)</f>
        <v>800</v>
      </c>
      <c r="F12" s="22">
        <v>800.0</v>
      </c>
      <c r="H12" s="16"/>
    </row>
    <row r="13" ht="22.5" customHeight="1">
      <c r="A13" s="8" t="s">
        <v>83</v>
      </c>
      <c r="B13" s="21">
        <f>VLOOKUP(A13,'Appointment Sheet 2 '!A12:H32,4,FALSE)</f>
        <v>46061</v>
      </c>
      <c r="C13" s="6" t="str">
        <f>VLOOKUP(A13,'Appointment Sheet 2 '!A12:H32,2,FALSE)</f>
        <v>Hina Ashraf</v>
      </c>
      <c r="D13" s="5" t="str">
        <f>VLOOKUP(A13,'Appointment Sheet 2 '!A12:H32,3,FALSE)</f>
        <v>D012</v>
      </c>
      <c r="E13" s="22">
        <f>VLOOKUP(D13,'Doctor Information ,Sheet 1'!A15:D34,4,FALSE)</f>
        <v>900</v>
      </c>
      <c r="F13" s="22">
        <v>900.0</v>
      </c>
      <c r="H13" s="16"/>
    </row>
    <row r="14" ht="22.5" customHeight="1">
      <c r="A14" s="8" t="s">
        <v>85</v>
      </c>
      <c r="B14" s="21">
        <f>VLOOKUP(A14,'Appointment Sheet 2 '!A13:H33,4,FALSE)</f>
        <v>46061</v>
      </c>
      <c r="C14" s="6" t="str">
        <f>VLOOKUP(A14,'Appointment Sheet 2 '!A13:H33,2,FALSE)</f>
        <v>Kamran Yousuf</v>
      </c>
      <c r="D14" s="5" t="str">
        <f>VLOOKUP(A14,'Appointment Sheet 2 '!A13:H33,3,FALSE)</f>
        <v>D013</v>
      </c>
      <c r="E14" s="22">
        <f>VLOOKUP(D14,'Doctor Information ,Sheet 1'!A16:D35,4,FALSE)</f>
        <v>700</v>
      </c>
      <c r="F14" s="22">
        <v>700.0</v>
      </c>
      <c r="H14" s="16"/>
    </row>
    <row r="15" ht="22.5" customHeight="1">
      <c r="A15" s="8" t="s">
        <v>87</v>
      </c>
      <c r="B15" s="21">
        <f>VLOOKUP(A15,'Appointment Sheet 2 '!A14:H34,4,FALSE)</f>
        <v>46061</v>
      </c>
      <c r="C15" s="6" t="str">
        <f>VLOOKUP(A15,'Appointment Sheet 2 '!A14:H34,2,FALSE)</f>
        <v>Rabia Noor</v>
      </c>
      <c r="D15" s="5" t="str">
        <f>VLOOKUP(A15,'Appointment Sheet 2 '!A14:H34,3,FALSE)</f>
        <v>D014</v>
      </c>
      <c r="E15" s="22">
        <f>VLOOKUP(D15,'Doctor Information ,Sheet 1'!A17:D36,4,FALSE)</f>
        <v>600</v>
      </c>
      <c r="F15" s="22">
        <v>600.0</v>
      </c>
      <c r="H15" s="16"/>
    </row>
    <row r="16" ht="22.5" customHeight="1">
      <c r="A16" s="8" t="s">
        <v>89</v>
      </c>
      <c r="B16" s="21">
        <f>VLOOKUP(A16,'Appointment Sheet 2 '!A15:H35,4,FALSE)</f>
        <v>46061</v>
      </c>
      <c r="C16" s="6" t="str">
        <f>VLOOKUP(A16,'Appointment Sheet 2 '!A15:H35,2,FALSE)</f>
        <v>Adnan Qureshi</v>
      </c>
      <c r="D16" s="5" t="str">
        <f>VLOOKUP(A16,'Appointment Sheet 2 '!A15:H35,3,FALSE)</f>
        <v>D015</v>
      </c>
      <c r="E16" s="22">
        <f>VLOOKUP(D16,'Doctor Information ,Sheet 1'!A18:D37,4,FALSE)</f>
        <v>500</v>
      </c>
      <c r="F16" s="22">
        <v>500.0</v>
      </c>
      <c r="H16" s="16"/>
    </row>
    <row r="17" ht="22.5" customHeight="1">
      <c r="A17" s="8" t="s">
        <v>91</v>
      </c>
      <c r="B17" s="21">
        <f>VLOOKUP(A17,'Appointment Sheet 2 '!A16:H36,4,FALSE)</f>
        <v>46064</v>
      </c>
      <c r="C17" s="6" t="str">
        <f>VLOOKUP(A17,'Appointment Sheet 2 '!A16:H36,2,FALSE)</f>
        <v>Saba Rizvi</v>
      </c>
      <c r="D17" s="5" t="str">
        <f>VLOOKUP(A17,'Appointment Sheet 2 '!A16:H36,3,FALSE)</f>
        <v>D016</v>
      </c>
      <c r="E17" s="22">
        <f>VLOOKUP(D17,'Doctor Information ,Sheet 1'!A19:D38,4,FALSE)</f>
        <v>550</v>
      </c>
      <c r="F17" s="22">
        <v>550.0</v>
      </c>
      <c r="H17" s="16"/>
    </row>
    <row r="18" ht="22.5" customHeight="1">
      <c r="A18" s="8" t="s">
        <v>93</v>
      </c>
      <c r="B18" s="21">
        <f>VLOOKUP(A18,'Appointment Sheet 2 '!A17:H37,4,FALSE)</f>
        <v>46065</v>
      </c>
      <c r="C18" s="6" t="str">
        <f>VLOOKUP(A18,'Appointment Sheet 2 '!A17:H37,2,FALSE)</f>
        <v>Danish Ali</v>
      </c>
      <c r="D18" s="5" t="str">
        <f>VLOOKUP(A18,'Appointment Sheet 2 '!A17:H37,3,FALSE)</f>
        <v>D017</v>
      </c>
      <c r="E18" s="22">
        <f>VLOOKUP(D18,'Doctor Information ,Sheet 1'!A20:D39,4,FALSE)</f>
        <v>450</v>
      </c>
      <c r="F18" s="22">
        <v>450.0</v>
      </c>
      <c r="H18" s="16"/>
    </row>
    <row r="19" ht="22.5" customHeight="1">
      <c r="A19" s="8" t="s">
        <v>95</v>
      </c>
      <c r="B19" s="21">
        <f>VLOOKUP(A19,'Appointment Sheet 2 '!A18:H38,4,FALSE)</f>
        <v>46060</v>
      </c>
      <c r="C19" s="6" t="str">
        <f>VLOOKUP(A19,'Appointment Sheet 2 '!A18:H38,2,FALSE)</f>
        <v>Mehwish Akhtar</v>
      </c>
      <c r="D19" s="5" t="str">
        <f>VLOOKUP(A19,'Appointment Sheet 2 '!A18:H38,3,FALSE)</f>
        <v>D018</v>
      </c>
      <c r="E19" s="22">
        <f>VLOOKUP(D19,'Doctor Information ,Sheet 1'!A21:D40,4,FALSE)</f>
        <v>650</v>
      </c>
      <c r="F19" s="22">
        <v>650.0</v>
      </c>
      <c r="H19" s="16"/>
    </row>
    <row r="20" ht="22.5" customHeight="1">
      <c r="A20" s="8" t="s">
        <v>97</v>
      </c>
      <c r="B20" s="21">
        <f>VLOOKUP(A20,'Appointment Sheet 2 '!A19:H39,4,FALSE)</f>
        <v>46061</v>
      </c>
      <c r="C20" s="6" t="str">
        <f>VLOOKUP(A20,'Appointment Sheet 2 '!A19:H39,2,FALSE)</f>
        <v>Shahid Hussain</v>
      </c>
      <c r="D20" s="5" t="str">
        <f>VLOOKUP(A20,'Appointment Sheet 2 '!A19:H39,3,FALSE)</f>
        <v>D019</v>
      </c>
      <c r="E20" s="22">
        <f>VLOOKUP(D20,'Doctor Information ,Sheet 1'!A22:D41,4,FALSE)</f>
        <v>400</v>
      </c>
      <c r="F20" s="22">
        <v>400.0</v>
      </c>
      <c r="H20" s="16"/>
      <c r="L20" s="23" t="s">
        <v>106</v>
      </c>
    </row>
    <row r="21" ht="22.5" customHeight="1">
      <c r="A21" s="8" t="s">
        <v>99</v>
      </c>
      <c r="B21" s="21">
        <f>VLOOKUP(A21,'Appointment Sheet 2 '!A20:H40,4,FALSE)</f>
        <v>46061</v>
      </c>
      <c r="C21" s="6" t="str">
        <f>VLOOKUP(A21,'Appointment Sheet 2 '!A20:H40,2,FALSE)</f>
        <v>Anum Siddiqui</v>
      </c>
      <c r="D21" s="5" t="str">
        <f>VLOOKUP(A21,'Appointment Sheet 2 '!A20:H40,3,FALSE)</f>
        <v>D020</v>
      </c>
      <c r="E21" s="22">
        <f>VLOOKUP(D21,'Doctor Information ,Sheet 1'!A23:D42,4,FALSE)</f>
        <v>75</v>
      </c>
      <c r="F21" s="22">
        <v>750.0</v>
      </c>
      <c r="H21" s="16"/>
    </row>
    <row r="22">
      <c r="A22" s="16"/>
      <c r="B22" s="24"/>
      <c r="C22" s="16"/>
      <c r="D22" s="16"/>
      <c r="E22" s="16"/>
      <c r="F22" s="16"/>
      <c r="H22" s="16"/>
    </row>
    <row r="23">
      <c r="A23" s="16"/>
      <c r="B23" s="24"/>
      <c r="C23" s="16"/>
      <c r="D23" s="16"/>
      <c r="E23" s="16"/>
      <c r="F23" s="16"/>
      <c r="H23" s="16"/>
    </row>
    <row r="24">
      <c r="A24" s="16"/>
      <c r="B24" s="24"/>
      <c r="C24" s="16"/>
      <c r="D24" s="16"/>
      <c r="E24" s="16"/>
      <c r="F24" s="16"/>
      <c r="H24" s="16"/>
    </row>
    <row r="25">
      <c r="A25" s="16"/>
      <c r="B25" s="24"/>
      <c r="C25" s="16"/>
      <c r="D25" s="16"/>
      <c r="E25" s="16"/>
      <c r="F25" s="16"/>
      <c r="H25" s="16"/>
    </row>
    <row r="26">
      <c r="A26" s="16"/>
      <c r="B26" s="24"/>
      <c r="C26" s="16"/>
      <c r="D26" s="16"/>
      <c r="E26" s="16"/>
      <c r="F26" s="16"/>
      <c r="H26" s="16"/>
    </row>
    <row r="27">
      <c r="A27" s="16"/>
      <c r="B27" s="24"/>
      <c r="C27" s="16"/>
      <c r="D27" s="16"/>
      <c r="E27" s="16"/>
      <c r="F27" s="16"/>
      <c r="H27" s="16"/>
    </row>
    <row r="32">
      <c r="A32" s="4"/>
      <c r="B32" s="4"/>
      <c r="C32" s="4"/>
      <c r="D32" s="4"/>
      <c r="E32" s="4"/>
      <c r="F32" s="4"/>
      <c r="H32" s="4"/>
    </row>
    <row r="33">
      <c r="A33" s="16"/>
      <c r="B33" s="24"/>
      <c r="C33" s="16"/>
      <c r="D33" s="16"/>
      <c r="E33" s="16"/>
      <c r="F33" s="16"/>
      <c r="H33" s="16"/>
    </row>
    <row r="34">
      <c r="A34" s="16"/>
      <c r="B34" s="24"/>
      <c r="C34" s="16"/>
      <c r="D34" s="16"/>
      <c r="E34" s="16"/>
      <c r="F34" s="16"/>
      <c r="H34" s="16"/>
    </row>
    <row r="35">
      <c r="A35" s="16"/>
      <c r="B35" s="24"/>
      <c r="C35" s="16"/>
      <c r="D35" s="16"/>
      <c r="E35" s="16"/>
      <c r="F35" s="16"/>
      <c r="H35" s="16"/>
    </row>
    <row r="36">
      <c r="A36" s="16"/>
      <c r="B36" s="24"/>
      <c r="C36" s="16"/>
      <c r="D36" s="16"/>
      <c r="E36" s="16"/>
      <c r="F36" s="16"/>
      <c r="H36" s="16"/>
    </row>
    <row r="37">
      <c r="A37" s="16"/>
      <c r="B37" s="24"/>
      <c r="C37" s="16"/>
      <c r="D37" s="16"/>
      <c r="E37" s="16"/>
      <c r="F37" s="16"/>
      <c r="H37" s="16"/>
    </row>
    <row r="38">
      <c r="A38" s="16"/>
      <c r="B38" s="24"/>
      <c r="C38" s="16"/>
      <c r="D38" s="16"/>
      <c r="E38" s="16"/>
      <c r="F38" s="16"/>
      <c r="H38" s="16"/>
    </row>
    <row r="39">
      <c r="A39" s="16"/>
      <c r="B39" s="24"/>
      <c r="C39" s="16"/>
      <c r="D39" s="16"/>
      <c r="E39" s="16"/>
      <c r="F39" s="16"/>
      <c r="H39" s="16"/>
    </row>
    <row r="40">
      <c r="A40" s="16"/>
      <c r="B40" s="24"/>
      <c r="C40" s="16"/>
      <c r="D40" s="16"/>
      <c r="E40" s="16"/>
      <c r="F40" s="16"/>
      <c r="H40" s="16"/>
    </row>
    <row r="41">
      <c r="A41" s="16"/>
      <c r="B41" s="24"/>
      <c r="C41" s="16"/>
      <c r="D41" s="16"/>
      <c r="E41" s="16"/>
      <c r="F41" s="16"/>
      <c r="H41" s="16"/>
    </row>
    <row r="42">
      <c r="A42" s="16"/>
      <c r="B42" s="24"/>
      <c r="C42" s="16"/>
      <c r="D42" s="16"/>
      <c r="E42" s="16"/>
      <c r="F42" s="16"/>
      <c r="H42" s="16"/>
    </row>
    <row r="43">
      <c r="A43" s="16"/>
      <c r="B43" s="24"/>
      <c r="C43" s="16"/>
      <c r="D43" s="16"/>
      <c r="E43" s="16"/>
      <c r="F43" s="16"/>
      <c r="H43" s="16"/>
    </row>
    <row r="44">
      <c r="A44" s="16"/>
      <c r="B44" s="24"/>
      <c r="C44" s="16"/>
      <c r="D44" s="16"/>
      <c r="E44" s="16"/>
      <c r="F44" s="16"/>
      <c r="H44" s="16"/>
    </row>
    <row r="45">
      <c r="A45" s="16"/>
      <c r="B45" s="24"/>
      <c r="C45" s="16"/>
      <c r="D45" s="16"/>
      <c r="E45" s="16"/>
      <c r="F45" s="16"/>
      <c r="H45" s="16"/>
    </row>
    <row r="46">
      <c r="A46" s="16"/>
      <c r="B46" s="24"/>
      <c r="C46" s="16"/>
      <c r="D46" s="16"/>
      <c r="E46" s="16"/>
      <c r="F46" s="16"/>
      <c r="H46" s="16"/>
    </row>
    <row r="47">
      <c r="A47" s="16"/>
      <c r="B47" s="24"/>
      <c r="C47" s="16"/>
      <c r="D47" s="16"/>
      <c r="E47" s="16"/>
      <c r="F47" s="16"/>
      <c r="H47" s="16"/>
    </row>
    <row r="48">
      <c r="A48" s="16"/>
      <c r="B48" s="24"/>
      <c r="C48" s="16"/>
      <c r="D48" s="16"/>
      <c r="E48" s="16"/>
      <c r="F48" s="16"/>
      <c r="H48" s="16"/>
    </row>
    <row r="49">
      <c r="A49" s="16"/>
      <c r="B49" s="24"/>
      <c r="C49" s="16"/>
      <c r="D49" s="16"/>
      <c r="E49" s="16"/>
      <c r="F49" s="16"/>
      <c r="H49" s="16"/>
    </row>
    <row r="50">
      <c r="A50" s="16"/>
      <c r="B50" s="24"/>
      <c r="C50" s="16"/>
      <c r="D50" s="16"/>
      <c r="E50" s="16"/>
      <c r="F50" s="16"/>
      <c r="H50" s="16"/>
    </row>
    <row r="51">
      <c r="A51" s="16"/>
      <c r="B51" s="24"/>
      <c r="C51" s="16"/>
      <c r="D51" s="16"/>
      <c r="E51" s="16"/>
      <c r="F51" s="16"/>
      <c r="H51" s="16"/>
    </row>
    <row r="52">
      <c r="A52" s="16"/>
      <c r="B52" s="24"/>
      <c r="C52" s="16"/>
      <c r="D52" s="16"/>
      <c r="E52" s="16"/>
      <c r="F52" s="16"/>
      <c r="H52" s="16"/>
    </row>
  </sheetData>
  <dataValidations>
    <dataValidation type="list" allowBlank="1" showErrorMessage="1" sqref="D2:D21">
      <formula1>"D001,D002,D003,D004,D005,D006,D007,D008,D009,D010,D011,D012,D013,D014,D015,D016,D017,D018,D019,D020"</formula1>
    </dataValidation>
    <dataValidation type="custom" allowBlank="1" showDropDown="1" sqref="B2:B21">
      <formula1>OR(NOT(ISERROR(DATEVALUE(B2))), AND(ISNUMBER(B2), LEFT(CELL("format", B2))="D"))</formula1>
    </dataValidation>
    <dataValidation type="custom" allowBlank="1" showDropDown="1" sqref="E2:F21">
      <formula1>AND(ISNUMBER(E2),(NOT(OR(NOT(ISERROR(DATEVALUE(E2))), AND(ISNUMBER(E2), LEFT(CELL("format", E2))="D")))))</formula1>
    </dataValidation>
    <dataValidation type="list" allowBlank="1" showErrorMessage="1" sqref="A2:A21">
      <formula1>"APT001,APT002,APT003,APT004,APT005,APT006,APT007,APT008,APT009,APT010,APT011,APT012,APT013,APT014,APT015,APT016,APT017,APT018,APT019,APT020"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6.13"/>
  </cols>
  <sheetData>
    <row r="1" ht="22.5" customHeight="1">
      <c r="A1" s="3" t="s">
        <v>107</v>
      </c>
      <c r="B1" s="3" t="s">
        <v>108</v>
      </c>
      <c r="C1" s="3" t="s">
        <v>109</v>
      </c>
    </row>
    <row r="2" ht="22.5" customHeight="1">
      <c r="A2" s="10">
        <v>46061.0</v>
      </c>
      <c r="B2" s="25">
        <f>COUNTIF('Billing Sheet 3'!A1:F21,A2)</f>
        <v>7</v>
      </c>
      <c r="C2" s="25">
        <f>SUMIF('Billing Sheet 3'!B2:B21,A2,'Billing Sheet 3'!F1:F21)</f>
        <v>4050</v>
      </c>
    </row>
    <row r="3" ht="22.5" customHeight="1">
      <c r="A3" s="13">
        <v>46060.0</v>
      </c>
      <c r="B3" s="25">
        <f>COUNTIF('Billing Sheet 3'!A2:F22,A3)</f>
        <v>3</v>
      </c>
      <c r="C3" s="25">
        <f>SUMIF('Billing Sheet 3'!B3:B22,A3,'Billing Sheet 3'!F2:F22)</f>
        <v>1950</v>
      </c>
    </row>
    <row r="4" ht="22.5" customHeight="1">
      <c r="A4" s="13">
        <v>46060.0</v>
      </c>
      <c r="B4" s="25">
        <f>COUNTIF('Billing Sheet 3'!A3:F23,A4)</f>
        <v>3</v>
      </c>
      <c r="C4" s="25">
        <f>SUMIF('Billing Sheet 3'!B4:B23,A4,'Billing Sheet 3'!F3:F23)</f>
        <v>1150</v>
      </c>
    </row>
    <row r="5" ht="22.5" customHeight="1">
      <c r="A5" s="10">
        <v>46062.0</v>
      </c>
      <c r="B5" s="25">
        <f>COUNTIF('Billing Sheet 3'!A4:F24,A5)</f>
        <v>2</v>
      </c>
      <c r="C5" s="25">
        <f>SUMIF('Billing Sheet 3'!B5:B24,A5,'Billing Sheet 3'!F4:F24)</f>
        <v>1150</v>
      </c>
    </row>
    <row r="6" ht="22.5" customHeight="1">
      <c r="A6" s="10">
        <v>46064.0</v>
      </c>
      <c r="B6" s="25">
        <f>COUNTIF('Billing Sheet 3'!A5:F25,A6)</f>
        <v>2</v>
      </c>
      <c r="C6" s="25">
        <f>SUMIF('Billing Sheet 3'!B6:B25,A6,'Billing Sheet 3'!F5:F25)</f>
        <v>1300</v>
      </c>
    </row>
    <row r="7" ht="22.5" customHeight="1">
      <c r="A7" s="10">
        <v>46062.0</v>
      </c>
      <c r="B7" s="25">
        <f>COUNTIF('Billing Sheet 3'!A6:F26,A7)</f>
        <v>1</v>
      </c>
      <c r="C7" s="25">
        <f>SUMIF('Billing Sheet 3'!B7:B26,A7,'Billing Sheet 3'!F6:F26)</f>
        <v>450</v>
      </c>
    </row>
    <row r="8" ht="22.5" customHeight="1">
      <c r="A8" s="10">
        <v>46068.0</v>
      </c>
      <c r="B8" s="25">
        <f>COUNTIF('Billing Sheet 3'!A7:F27,A8)</f>
        <v>1</v>
      </c>
      <c r="C8" s="25">
        <f>SUMIF('Billing Sheet 3'!B8:B27,A8,'Billing Sheet 3'!F7:F27)</f>
        <v>550</v>
      </c>
    </row>
    <row r="9" ht="22.5" customHeight="1">
      <c r="A9" s="10">
        <v>46069.0</v>
      </c>
      <c r="B9" s="25">
        <f>COUNTIF('Billing Sheet 3'!A8:F28,A9)</f>
        <v>1</v>
      </c>
      <c r="C9" s="25">
        <f>SUMIF('Billing Sheet 3'!B9:B28,A9,'Billing Sheet 3'!F8:F28)</f>
        <v>650</v>
      </c>
    </row>
    <row r="10" ht="22.5" customHeight="1">
      <c r="A10" s="10">
        <v>46073.0</v>
      </c>
      <c r="B10" s="25">
        <f>COUNTIF('Billing Sheet 3'!A9:F29,A10)</f>
        <v>1</v>
      </c>
      <c r="C10" s="25">
        <f>SUMIF('Billing Sheet 3'!B10:B29,A10,'Billing Sheet 3'!F9:F29)</f>
        <v>900</v>
      </c>
    </row>
    <row r="11" ht="22.5" customHeight="1">
      <c r="A11" s="10">
        <v>46074.0</v>
      </c>
      <c r="B11" s="25">
        <f>COUNTIF('Billing Sheet 3'!A10:F30,A11)</f>
        <v>1</v>
      </c>
      <c r="C11" s="25">
        <f>SUMIF('Billing Sheet 3'!B11:B30,A11,'Billing Sheet 3'!F10:F30)</f>
        <v>400</v>
      </c>
    </row>
    <row r="12" ht="22.5" customHeight="1">
      <c r="A12" s="10">
        <v>46076.0</v>
      </c>
      <c r="B12" s="25">
        <f>COUNTIF('Billing Sheet 3'!A11:F31,A12)</f>
        <v>1</v>
      </c>
      <c r="C12" s="25">
        <f>SUMIF('Billing Sheet 3'!B12:B31,A12,'Billing Sheet 3'!F11:F31)</f>
        <v>750</v>
      </c>
    </row>
    <row r="13" ht="22.5" customHeight="1">
      <c r="A13" s="13">
        <v>46061.0</v>
      </c>
      <c r="B13" s="25">
        <f>COUNTIF('Billing Sheet 3'!A12:F32,A13)</f>
        <v>6</v>
      </c>
      <c r="C13" s="25">
        <f>SUMIF('Billing Sheet 3'!B13:B32,A13,'Billing Sheet 3'!F12:F32)</f>
        <v>4050</v>
      </c>
    </row>
    <row r="14" ht="22.5" customHeight="1">
      <c r="A14" s="13">
        <v>46061.0</v>
      </c>
      <c r="B14" s="25">
        <f>COUNTIF('Billing Sheet 3'!A13:F33,A14)</f>
        <v>6</v>
      </c>
      <c r="C14" s="25">
        <f>SUMIF('Billing Sheet 3'!B14:B33,A14,'Billing Sheet 3'!F13:F33)</f>
        <v>3250</v>
      </c>
    </row>
    <row r="15" ht="22.5" customHeight="1">
      <c r="A15" s="13">
        <v>46061.0</v>
      </c>
      <c r="B15" s="25">
        <f>COUNTIF('Billing Sheet 3'!A14:F34,A15)</f>
        <v>5</v>
      </c>
      <c r="C15" s="25">
        <f>SUMIF('Billing Sheet 3'!B15:B34,A15,'Billing Sheet 3'!F14:F34)</f>
        <v>2350</v>
      </c>
    </row>
    <row r="16" ht="22.5" customHeight="1">
      <c r="A16" s="13">
        <v>46061.0</v>
      </c>
      <c r="B16" s="25">
        <f>COUNTIF('Billing Sheet 3'!A15:F35,A16)</f>
        <v>4</v>
      </c>
      <c r="C16" s="25">
        <f>SUMIF('Billing Sheet 3'!B16:B35,A16,'Billing Sheet 3'!F15:F35)</f>
        <v>1650</v>
      </c>
    </row>
    <row r="17" ht="22.5" customHeight="1">
      <c r="A17" s="10">
        <v>46064.0</v>
      </c>
      <c r="B17" s="25">
        <f>COUNTIF('Billing Sheet 3'!A16:F36,A17)</f>
        <v>1</v>
      </c>
      <c r="C17" s="25">
        <f>SUMIF('Billing Sheet 3'!B17:B36,A17,'Billing Sheet 3'!F16:F36)</f>
        <v>500</v>
      </c>
    </row>
    <row r="18" ht="22.5" customHeight="1">
      <c r="A18" s="10">
        <v>46065.0</v>
      </c>
      <c r="B18" s="25">
        <f>COUNTIF('Billing Sheet 3'!A17:F37,A18)</f>
        <v>1</v>
      </c>
      <c r="C18" s="25">
        <f>SUMIF('Billing Sheet 3'!B18:B37,A18,'Billing Sheet 3'!F17:F37)</f>
        <v>550</v>
      </c>
    </row>
    <row r="19" ht="22.5" customHeight="1">
      <c r="A19" s="10">
        <v>46060.0</v>
      </c>
      <c r="B19" s="25">
        <f>COUNTIF('Billing Sheet 3'!A18:F38,A19)</f>
        <v>1</v>
      </c>
      <c r="C19" s="25">
        <f>SUMIF('Billing Sheet 3'!B19:B38,A19,'Billing Sheet 3'!F18:F38)</f>
        <v>450</v>
      </c>
    </row>
    <row r="20" ht="22.5" customHeight="1">
      <c r="A20" s="13">
        <v>46061.0</v>
      </c>
      <c r="B20" s="25">
        <f>COUNTIF('Billing Sheet 3'!A19:F39,A20)</f>
        <v>2</v>
      </c>
      <c r="C20" s="25">
        <f>SUMIF('Billing Sheet 3'!B20:B39,A20,'Billing Sheet 3'!F19:F39)</f>
        <v>1050</v>
      </c>
    </row>
    <row r="21" ht="22.5" customHeight="1">
      <c r="A21" s="13">
        <v>46061.0</v>
      </c>
      <c r="B21" s="25">
        <f>COUNTIF('Billing Sheet 3'!A20:F40,A21)</f>
        <v>2</v>
      </c>
      <c r="C21" s="25">
        <f>SUMIF('Billing Sheet 3'!B21:B40,A21,'Billing Sheet 3'!F20:F40)</f>
        <v>400</v>
      </c>
    </row>
  </sheetData>
  <dataValidations>
    <dataValidation type="custom" allowBlank="1" showDropDown="1" sqref="A2:A2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6.75"/>
    <col customWidth="1" min="3" max="3" width="16.38"/>
    <col customWidth="1" min="4" max="4" width="16.13"/>
  </cols>
  <sheetData>
    <row r="1" ht="22.5" customHeight="1">
      <c r="A1" s="7" t="s">
        <v>55</v>
      </c>
      <c r="B1" s="3" t="s">
        <v>2</v>
      </c>
      <c r="C1" s="3" t="s">
        <v>108</v>
      </c>
      <c r="D1" s="26" t="s">
        <v>109</v>
      </c>
    </row>
    <row r="2" ht="22.5" customHeight="1">
      <c r="A2" s="5" t="s">
        <v>5</v>
      </c>
      <c r="B2" s="6" t="str">
        <f>VLOOKUP(A2,'Doctor Information ,Sheet 1'!A5:B24,2,FALSE)</f>
        <v>Dr . Shaheer</v>
      </c>
      <c r="C2" s="27">
        <f>COUNTIF('Billing Sheet 3'!A2:F21,'Doctor Information ,Sheet 1'!A5)</f>
        <v>1</v>
      </c>
      <c r="D2" s="25">
        <f>SUMIF('Doctor Information ,Sheet 1'!A5:A24,A2,'Daily Revenue Sheet4'!C2:C21)</f>
        <v>4050</v>
      </c>
      <c r="H2" s="16"/>
      <c r="I2" s="16"/>
      <c r="J2" s="16"/>
    </row>
    <row r="3" ht="22.5" customHeight="1">
      <c r="A3" s="5" t="s">
        <v>8</v>
      </c>
      <c r="B3" s="6" t="str">
        <f>VLOOKUP(A3,'Doctor Information ,Sheet 1'!A6:B25,2,FALSE)</f>
        <v>Dr. Ayesha Rahman</v>
      </c>
      <c r="C3" s="27">
        <f>COUNTIF('Billing Sheet 3'!A3:F22,'Doctor Information ,Sheet 1'!A6)</f>
        <v>1</v>
      </c>
      <c r="D3" s="25">
        <f>SUMIF('Doctor Information ,Sheet 1'!A6:A25,A3,'Daily Revenue Sheet4'!C3:C22)</f>
        <v>1950</v>
      </c>
      <c r="H3" s="16"/>
    </row>
    <row r="4" ht="22.5" customHeight="1">
      <c r="A4" s="5" t="s">
        <v>11</v>
      </c>
      <c r="B4" s="6" t="str">
        <f>VLOOKUP(A4,'Doctor Information ,Sheet 1'!A7:B26,2,FALSE)</f>
        <v>Dr. Mohammad Ali</v>
      </c>
      <c r="C4" s="27">
        <f>COUNTIF('Billing Sheet 3'!A4:F23,'Doctor Information ,Sheet 1'!A7)</f>
        <v>1</v>
      </c>
      <c r="D4" s="25">
        <f>SUMIF('Doctor Information ,Sheet 1'!A7:A26,A4,'Daily Revenue Sheet4'!C4:C23)</f>
        <v>1150</v>
      </c>
      <c r="H4" s="16"/>
    </row>
    <row r="5" ht="22.5" customHeight="1">
      <c r="A5" s="5" t="s">
        <v>14</v>
      </c>
      <c r="B5" s="6" t="str">
        <f>VLOOKUP(A5,'Doctor Information ,Sheet 1'!A8:B27,2,FALSE)</f>
        <v>Dr. Fatima Noor</v>
      </c>
      <c r="C5" s="27">
        <f>COUNTIF('Billing Sheet 3'!A5:F24,'Doctor Information ,Sheet 1'!A8)</f>
        <v>1</v>
      </c>
      <c r="D5" s="25">
        <f>SUMIF('Doctor Information ,Sheet 1'!A8:A27,A5,'Daily Revenue Sheet4'!C5:C24)</f>
        <v>1150</v>
      </c>
      <c r="H5" s="16"/>
    </row>
    <row r="6" ht="22.5" customHeight="1">
      <c r="A6" s="5" t="s">
        <v>17</v>
      </c>
      <c r="B6" s="6" t="str">
        <f>VLOOKUP(A6,'Doctor Information ,Sheet 1'!A9:B28,2,FALSE)</f>
        <v>Dr. Salman Sheikh</v>
      </c>
      <c r="C6" s="27">
        <f>COUNTIF('Billing Sheet 3'!A6:F25,'Doctor Information ,Sheet 1'!A9)</f>
        <v>1</v>
      </c>
      <c r="D6" s="25">
        <f>SUMIF('Doctor Information ,Sheet 1'!A9:A28,A6,'Daily Revenue Sheet4'!C6:C25)</f>
        <v>1300</v>
      </c>
      <c r="H6" s="16"/>
    </row>
    <row r="7" ht="22.5" customHeight="1">
      <c r="A7" s="5" t="s">
        <v>20</v>
      </c>
      <c r="B7" s="6" t="str">
        <f>VLOOKUP(A7,'Doctor Information ,Sheet 1'!A10:B29,2,FALSE)</f>
        <v>Dr. Zainab Hussain</v>
      </c>
      <c r="C7" s="27">
        <f>COUNTIF('Billing Sheet 3'!A7:F26,'Doctor Information ,Sheet 1'!A10)</f>
        <v>1</v>
      </c>
      <c r="D7" s="25">
        <f>SUMIF('Doctor Information ,Sheet 1'!A10:A29,A7,'Daily Revenue Sheet4'!C7:C26)</f>
        <v>450</v>
      </c>
      <c r="H7" s="16"/>
    </row>
    <row r="8" ht="22.5" customHeight="1">
      <c r="A8" s="5" t="s">
        <v>23</v>
      </c>
      <c r="B8" s="6" t="str">
        <f>VLOOKUP(A8,'Doctor Information ,Sheet 1'!A11:B30,2,FALSE)</f>
        <v>Dr. Omar Farooq</v>
      </c>
      <c r="C8" s="27">
        <f>COUNTIF('Billing Sheet 3'!A8:F27,'Doctor Information ,Sheet 1'!A11)</f>
        <v>1</v>
      </c>
      <c r="D8" s="25">
        <f>SUMIF('Doctor Information ,Sheet 1'!A11:A30,A8,'Daily Revenue Sheet4'!C8:C27)</f>
        <v>550</v>
      </c>
      <c r="H8" s="16"/>
    </row>
    <row r="9" ht="22.5" customHeight="1">
      <c r="A9" s="5" t="s">
        <v>26</v>
      </c>
      <c r="B9" s="6" t="str">
        <f>VLOOKUP(A9,'Doctor Information ,Sheet 1'!A12:B31,2,FALSE)</f>
        <v>Dr. Sana Iqbal</v>
      </c>
      <c r="C9" s="27">
        <f>COUNTIF('Billing Sheet 3'!A9:F28,'Doctor Information ,Sheet 1'!A12)</f>
        <v>1</v>
      </c>
      <c r="D9" s="25">
        <f>SUMIF('Doctor Information ,Sheet 1'!A12:A31,A9,'Daily Revenue Sheet4'!C9:C28)</f>
        <v>650</v>
      </c>
      <c r="H9" s="16"/>
    </row>
    <row r="10" ht="22.5" customHeight="1">
      <c r="A10" s="5" t="s">
        <v>29</v>
      </c>
      <c r="B10" s="6" t="str">
        <f>VLOOKUP(A10,'Doctor Information ,Sheet 1'!A13:B32,2,FALSE)</f>
        <v>Dr. Yusuf Ansari</v>
      </c>
      <c r="C10" s="27">
        <f>COUNTIF('Billing Sheet 3'!A10:F29,'Doctor Information ,Sheet 1'!A13)</f>
        <v>1</v>
      </c>
      <c r="D10" s="25">
        <f>SUMIF('Doctor Information ,Sheet 1'!A13:A32,A10,'Daily Revenue Sheet4'!C10:C29)</f>
        <v>900</v>
      </c>
      <c r="H10" s="16"/>
    </row>
    <row r="11" ht="22.5" customHeight="1">
      <c r="A11" s="5" t="s">
        <v>32</v>
      </c>
      <c r="B11" s="6" t="str">
        <f>VLOOKUP(A11,'Doctor Information ,Sheet 1'!A14:B33,2,FALSE)</f>
        <v>Dr. Mariam Siddiqi</v>
      </c>
      <c r="C11" s="27">
        <f>COUNTIF('Billing Sheet 3'!A11:F30,'Doctor Information ,Sheet 1'!A14)</f>
        <v>1</v>
      </c>
      <c r="D11" s="25">
        <f>SUMIF('Doctor Information ,Sheet 1'!A14:A33,A11,'Daily Revenue Sheet4'!C11:C30)</f>
        <v>400</v>
      </c>
      <c r="H11" s="16"/>
    </row>
    <row r="12" ht="22.5" customHeight="1">
      <c r="A12" s="5" t="s">
        <v>35</v>
      </c>
      <c r="B12" s="6" t="str">
        <f>VLOOKUP(A12,'Doctor Information ,Sheet 1'!A15:B34,2,FALSE)</f>
        <v>Dr. Ahmed Khan</v>
      </c>
      <c r="C12" s="27">
        <f>COUNTIF('Billing Sheet 3'!A12:F31,'Doctor Information ,Sheet 1'!A15)</f>
        <v>1</v>
      </c>
      <c r="D12" s="25">
        <f>SUMIF('Doctor Information ,Sheet 1'!A15:A34,A12,'Daily Revenue Sheet4'!C12:C31)</f>
        <v>750</v>
      </c>
      <c r="H12" s="16"/>
    </row>
    <row r="13" ht="22.5" customHeight="1">
      <c r="A13" s="5" t="s">
        <v>37</v>
      </c>
      <c r="B13" s="6" t="str">
        <f>VLOOKUP(A13,'Doctor Information ,Sheet 1'!A16:B35,2,FALSE)</f>
        <v>Dr. Ayesha Rahman</v>
      </c>
      <c r="C13" s="27">
        <f>COUNTIF('Billing Sheet 3'!A13:F32,'Doctor Information ,Sheet 1'!A16)</f>
        <v>1</v>
      </c>
      <c r="D13" s="25">
        <f>SUMIF('Doctor Information ,Sheet 1'!A16:A35,A13,'Daily Revenue Sheet4'!C13:C32)</f>
        <v>4050</v>
      </c>
      <c r="H13" s="16"/>
    </row>
    <row r="14" ht="22.5" customHeight="1">
      <c r="A14" s="5" t="s">
        <v>38</v>
      </c>
      <c r="B14" s="6" t="str">
        <f>VLOOKUP(A14,'Doctor Information ,Sheet 1'!A17:B36,2,FALSE)</f>
        <v>Dr. Mohammad Ali</v>
      </c>
      <c r="C14" s="27">
        <f>COUNTIF('Billing Sheet 3'!A14:F33,'Doctor Information ,Sheet 1'!A17)</f>
        <v>1</v>
      </c>
      <c r="D14" s="25">
        <f>SUMIF('Doctor Information ,Sheet 1'!A17:A36,A14,'Daily Revenue Sheet4'!C14:C33)</f>
        <v>3250</v>
      </c>
      <c r="H14" s="16"/>
    </row>
    <row r="15" ht="22.5" customHeight="1">
      <c r="A15" s="5" t="s">
        <v>39</v>
      </c>
      <c r="B15" s="6" t="str">
        <f>VLOOKUP(A15,'Doctor Information ,Sheet 1'!A18:B37,2,FALSE)</f>
        <v>Dr. Fatima Begum</v>
      </c>
      <c r="C15" s="27">
        <f>COUNTIF('Billing Sheet 3'!A15:F34,'Doctor Information ,Sheet 1'!A18)</f>
        <v>1</v>
      </c>
      <c r="D15" s="25">
        <f>SUMIF('Doctor Information ,Sheet 1'!A18:A37,A15,'Daily Revenue Sheet4'!C15:C34)</f>
        <v>2350</v>
      </c>
      <c r="H15" s="16"/>
    </row>
    <row r="16" ht="22.5" customHeight="1">
      <c r="A16" s="5" t="s">
        <v>41</v>
      </c>
      <c r="B16" s="6" t="str">
        <f>VLOOKUP(A16,'Doctor Information ,Sheet 1'!A19:B38,2,FALSE)</f>
        <v>Dr. Salman Hussain</v>
      </c>
      <c r="C16" s="27">
        <f>COUNTIF('Billing Sheet 3'!A16:F35,'Doctor Information ,Sheet 1'!A19)</f>
        <v>1</v>
      </c>
      <c r="D16" s="25">
        <f>SUMIF('Doctor Information ,Sheet 1'!A19:A38,A16,'Daily Revenue Sheet4'!C16:C35)</f>
        <v>1650</v>
      </c>
      <c r="H16" s="16"/>
    </row>
    <row r="17" ht="22.5" customHeight="1">
      <c r="A17" s="5" t="s">
        <v>43</v>
      </c>
      <c r="B17" s="6" t="str">
        <f>VLOOKUP(A17,'Doctor Information ,Sheet 1'!A20:B39,2,FALSE)</f>
        <v>Dr. Sana Ahmed</v>
      </c>
      <c r="C17" s="27">
        <f>COUNTIF('Billing Sheet 3'!A17:F36,'Doctor Information ,Sheet 1'!A20)</f>
        <v>1</v>
      </c>
      <c r="D17" s="25">
        <f>SUMIF('Doctor Information ,Sheet 1'!A20:A39,A17,'Daily Revenue Sheet4'!C17:C36)</f>
        <v>500</v>
      </c>
      <c r="H17" s="16"/>
    </row>
    <row r="18" ht="22.5" customHeight="1">
      <c r="A18" s="5" t="s">
        <v>45</v>
      </c>
      <c r="B18" s="6" t="str">
        <f>VLOOKUP(A18,'Doctor Information ,Sheet 1'!A21:B40,2,FALSE)</f>
        <v>Dr. Imran Sheikh</v>
      </c>
      <c r="C18" s="27">
        <f>COUNTIF('Billing Sheet 3'!A18:F37,'Doctor Information ,Sheet 1'!A21)</f>
        <v>1</v>
      </c>
      <c r="D18" s="25">
        <f>SUMIF('Doctor Information ,Sheet 1'!A21:A40,A18,'Daily Revenue Sheet4'!C18:C37)</f>
        <v>550</v>
      </c>
      <c r="H18" s="16"/>
    </row>
    <row r="19" ht="22.5" customHeight="1">
      <c r="A19" s="5" t="s">
        <v>47</v>
      </c>
      <c r="B19" s="6" t="str">
        <f>VLOOKUP(A19,'Doctor Information ,Sheet 1'!A22:B41,2,FALSE)</f>
        <v>Dr. Zainab Noor</v>
      </c>
      <c r="C19" s="27">
        <f>COUNTIF('Billing Sheet 3'!A19:F38,'Doctor Information ,Sheet 1'!A22)</f>
        <v>1</v>
      </c>
      <c r="D19" s="25">
        <f>SUMIF('Doctor Information ,Sheet 1'!A22:A41,A19,'Daily Revenue Sheet4'!C19:C38)</f>
        <v>450</v>
      </c>
      <c r="H19" s="16"/>
    </row>
    <row r="20" ht="22.5" customHeight="1">
      <c r="A20" s="5" t="s">
        <v>50</v>
      </c>
      <c r="B20" s="6" t="str">
        <f>VLOOKUP(A20,'Doctor Information ,Sheet 1'!A23:B42,2,FALSE)</f>
        <v>Dr. Yusuf Ansari</v>
      </c>
      <c r="C20" s="27">
        <f>COUNTIF('Billing Sheet 3'!A20:F39,'Doctor Information ,Sheet 1'!A23)</f>
        <v>1</v>
      </c>
      <c r="D20" s="25">
        <f>SUMIF('Doctor Information ,Sheet 1'!A23:A42,A20,'Daily Revenue Sheet4'!C20:C39)</f>
        <v>1050</v>
      </c>
      <c r="H20" s="16"/>
    </row>
    <row r="21" ht="22.5" customHeight="1">
      <c r="A21" s="5" t="s">
        <v>51</v>
      </c>
      <c r="B21" s="6" t="str">
        <f>VLOOKUP(A21,'Doctor Information ,Sheet 1'!A24:B43,2,FALSE)</f>
        <v>Dr. Nida Khan</v>
      </c>
      <c r="C21" s="27">
        <f>COUNTIF('Billing Sheet 3'!A21:F40,'Doctor Information ,Sheet 1'!A24)</f>
        <v>1</v>
      </c>
      <c r="D21" s="25">
        <f>SUMIF('Doctor Information ,Sheet 1'!A24:A43,A21,'Daily Revenue Sheet4'!C21:C40)</f>
        <v>400</v>
      </c>
      <c r="H21" s="16"/>
    </row>
    <row r="22">
      <c r="H22" s="16"/>
    </row>
  </sheetData>
  <dataValidations>
    <dataValidation type="list" allowBlank="1" showErrorMessage="1" sqref="A2:A21">
      <formula1>"D001,D002,D003,D004,D005,D006,D007,D008,D009,D010,D011,D012,D013,D014,D015,D016,D017,D018,D019,D020"</formula1>
    </dataValidation>
  </dataValidations>
  <drawing r:id="rId1"/>
  <tableParts count="1">
    <tablePart r:id="rId3"/>
  </tableParts>
</worksheet>
</file>